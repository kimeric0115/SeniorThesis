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366E421E-B12B-40D5-A372-8409DC99514D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<sst xmlns="http://schemas.openxmlformats.org/spreadsheetml/2006/main" count="108" uniqueCount="27">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</sst>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OLS Point Estimate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'Comprehensive Housing Index'!$H$3:$H$20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-3.7830607199501598E-3</c:v>
                </c:pt>
                <c:pt idx="1">
                  <c:v>-3.577799327391884E-3</c:v>
                </c:pt>
                <c:pt idx="2">
                  <c:v>-1.213775488150048E-3</c:v>
                </c:pt>
                <c:pt idx="3">
                  <c:v>-8.1638062385480659E-4</c:v>
                </c:pt>
                <c:pt idx="4">
                  <c:v>9.8915789071285509E-5</c:v>
                </c:pt>
                <c:pt idx="5">
                  <c:v>5.5627705587926179E-3</c:v>
                </c:pt>
                <c:pt idx="6">
                  <c:v>6.9114888274990349E-5</c:v>
                </c:pt>
                <c:pt idx="7">
                  <c:v>4.194009186175407E-3</c:v>
                </c:pt>
                <c:pt idx="8">
                  <c:v>5.8580775449512679E-5</c:v>
                </c:pt>
                <c:pt idx="9">
                  <c:v>1.3338171726440251E-3</c:v>
                </c:pt>
                <c:pt idx="10">
                  <c:v>1.1493763393614079E-2</c:v>
                </c:pt>
                <c:pt idx="11">
                  <c:v>-7.918612245961909E-3</c:v>
                </c:pt>
                <c:pt idx="12">
                  <c:v>-3.454005054503773E-3</c:v>
                </c:pt>
                <c:pt idx="13">
                  <c:v>2.559419382284545E-3</c:v>
                </c:pt>
                <c:pt idx="14">
                  <c:v>2.5625849864763239E-5</c:v>
                </c:pt>
                <c:pt idx="15">
                  <c:v>4.495403986795043E-4</c:v>
                </c:pt>
                <c:pt idx="16">
                  <c:v>-5.7463786339617684E-4</c:v>
                </c:pt>
                <c:pt idx="17">
                  <c:v>6.5919182557272471E-5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7-45F6-9940-4BBE033E7ADE}"/>
            </c:ext>
          </c:extLst>
        </c:ser>
        <c:ser>
          <c:idx val="1"/>
          <c:order val="1"/>
          <c:tx>
            <c:v>95% CI -- lower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Index'!$F$3:$F$20</c:f>
              <c:numCache>
                <c:formatCode>General</c:formatCode>
                <c:ptCount val="18"/>
                <c:pt idx="0">
                  <c:v>-1.329750173446859E-2</c:v>
                </c:pt>
                <c:pt idx="1">
                  <c:v>-1.2983031850358239E-2</c:v>
                </c:pt>
                <c:pt idx="2">
                  <c:v>-6.3684554295802822E-3</c:v>
                </c:pt>
                <c:pt idx="3">
                  <c:v>-5.1933198103639991E-3</c:v>
                </c:pt>
                <c:pt idx="4">
                  <c:v>-4.0622459323220953E-3</c:v>
                </c:pt>
                <c:pt idx="5">
                  <c:v>-1.744136537430349E-3</c:v>
                </c:pt>
                <c:pt idx="6">
                  <c:v>-5.568843877543213E-3</c:v>
                </c:pt>
                <c:pt idx="7">
                  <c:v>-4.9727508568792704E-3</c:v>
                </c:pt>
                <c:pt idx="8">
                  <c:v>-4.5029305912986303E-3</c:v>
                </c:pt>
                <c:pt idx="9">
                  <c:v>-3.00257132754693E-3</c:v>
                </c:pt>
                <c:pt idx="10">
                  <c:v>-4.7572902434757959E-3</c:v>
                </c:pt>
                <c:pt idx="11">
                  <c:v>-1.8143179012586719E-2</c:v>
                </c:pt>
                <c:pt idx="12">
                  <c:v>-1.437506355971296E-2</c:v>
                </c:pt>
                <c:pt idx="13">
                  <c:v>-1.653490757286756E-3</c:v>
                </c:pt>
                <c:pt idx="14">
                  <c:v>-4.0667709350442711E-3</c:v>
                </c:pt>
                <c:pt idx="15">
                  <c:v>-2.9832908572104948E-3</c:v>
                </c:pt>
                <c:pt idx="16">
                  <c:v>-4.9745526466683397E-3</c:v>
                </c:pt>
                <c:pt idx="17">
                  <c:v>-4.5084067246441957E-3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D-48C6-B0A9-CC63256679F5}"/>
            </c:ext>
          </c:extLst>
        </c:ser>
        <c:ser>
          <c:idx val="2"/>
          <c:order val="2"/>
          <c:tx>
            <c:v>95% CI -- upper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Index'!$G$3:$G$20</c:f>
              <c:numCache>
                <c:formatCode>General</c:formatCode>
                <c:ptCount val="18"/>
                <c:pt idx="0">
                  <c:v>5.731380294568272E-3</c:v>
                </c:pt>
                <c:pt idx="1">
                  <c:v>5.8274331955744767E-3</c:v>
                </c:pt>
                <c:pt idx="2">
                  <c:v>3.9409044532801854E-3</c:v>
                </c:pt>
                <c:pt idx="3">
                  <c:v>3.5605585626543859E-3</c:v>
                </c:pt>
                <c:pt idx="4">
                  <c:v>4.2600775104646663E-3</c:v>
                </c:pt>
                <c:pt idx="5">
                  <c:v>1.2869677655015579E-2</c:v>
                </c:pt>
                <c:pt idx="6">
                  <c:v>5.7070736540931937E-3</c:v>
                </c:pt>
                <c:pt idx="7">
                  <c:v>1.3360769229230079E-2</c:v>
                </c:pt>
                <c:pt idx="8">
                  <c:v>4.6200921421976557E-3</c:v>
                </c:pt>
                <c:pt idx="9">
                  <c:v>5.6702056728349806E-3</c:v>
                </c:pt>
                <c:pt idx="10">
                  <c:v>2.7744817030703951E-2</c:v>
                </c:pt>
                <c:pt idx="11">
                  <c:v>2.3059545206628972E-3</c:v>
                </c:pt>
                <c:pt idx="12">
                  <c:v>7.4670534507054144E-3</c:v>
                </c:pt>
                <c:pt idx="13">
                  <c:v>6.7723295218558447E-3</c:v>
                </c:pt>
                <c:pt idx="14">
                  <c:v>4.1180226347737976E-3</c:v>
                </c:pt>
                <c:pt idx="15">
                  <c:v>3.882371654569504E-3</c:v>
                </c:pt>
                <c:pt idx="16">
                  <c:v>3.825276919875986E-3</c:v>
                </c:pt>
                <c:pt idx="17">
                  <c:v>4.6402450897587407E-3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D-48C6-B0A9-CC6325667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271039"/>
        <c:axId val="1582265759"/>
      </c:lineChart>
      <c:catAx>
        <c:axId val="158227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265759"/>
        <c:crosses val="autoZero"/>
        <c:auto val="1"/>
        <c:lblAlgn val="ctr"/>
        <c:lblOffset val="100"/>
        <c:noMultiLvlLbl val="0"/>
      </c:catAx>
      <c:valAx>
        <c:axId val="158226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27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OLS Point Estimate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Apartment!$H$3:$H$20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Apartment!$B$3:$B$20</c:f>
              <c:numCache>
                <c:formatCode>General</c:formatCode>
                <c:ptCount val="18"/>
                <c:pt idx="0">
                  <c:v>-5.0256363340741572E-3</c:v>
                </c:pt>
                <c:pt idx="1">
                  <c:v>-5.4464663042648187E-3</c:v>
                </c:pt>
                <c:pt idx="2">
                  <c:v>-2.1410386335769531E-3</c:v>
                </c:pt>
                <c:pt idx="3">
                  <c:v>-2.5687343446079152E-3</c:v>
                </c:pt>
                <c:pt idx="4">
                  <c:v>-6.0576831369840711E-4</c:v>
                </c:pt>
                <c:pt idx="5">
                  <c:v>6.5696313442710208E-3</c:v>
                </c:pt>
                <c:pt idx="6">
                  <c:v>-2.749305905427768E-3</c:v>
                </c:pt>
                <c:pt idx="7">
                  <c:v>4.7770747176998363E-3</c:v>
                </c:pt>
                <c:pt idx="8">
                  <c:v>-1.630725295980517E-3</c:v>
                </c:pt>
                <c:pt idx="9">
                  <c:v>2.3869642737484039E-5</c:v>
                </c:pt>
                <c:pt idx="10">
                  <c:v>1.5901405449337162E-2</c:v>
                </c:pt>
                <c:pt idx="11">
                  <c:v>-1.018108924481265E-2</c:v>
                </c:pt>
                <c:pt idx="12">
                  <c:v>-5.5507522356180727E-3</c:v>
                </c:pt>
                <c:pt idx="13">
                  <c:v>2.4545383171774571E-3</c:v>
                </c:pt>
                <c:pt idx="14">
                  <c:v>-2.0496975080575019E-4</c:v>
                </c:pt>
                <c:pt idx="15">
                  <c:v>1.4640410754918071E-4</c:v>
                </c:pt>
                <c:pt idx="16">
                  <c:v>-2.4619187821129929E-3</c:v>
                </c:pt>
                <c:pt idx="17">
                  <c:v>-1.7840465042225919E-3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B-4342-B78D-F42FB30A5076}"/>
            </c:ext>
          </c:extLst>
        </c:ser>
        <c:ser>
          <c:idx val="1"/>
          <c:order val="1"/>
          <c:tx>
            <c:v>95% CI -- lower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Apartment!$H$3:$H$20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Apartment!$F$3:$F$20</c:f>
              <c:numCache>
                <c:formatCode>General</c:formatCode>
                <c:ptCount val="18"/>
                <c:pt idx="0">
                  <c:v>-1.8045074438803922E-2</c:v>
                </c:pt>
                <c:pt idx="1">
                  <c:v>-1.7822403954128409E-2</c:v>
                </c:pt>
                <c:pt idx="2">
                  <c:v>-9.1780260789196613E-3</c:v>
                </c:pt>
                <c:pt idx="3">
                  <c:v>-9.1368859515325047E-3</c:v>
                </c:pt>
                <c:pt idx="4">
                  <c:v>-6.0628561013535819E-3</c:v>
                </c:pt>
                <c:pt idx="5">
                  <c:v>-4.0850575500187662E-3</c:v>
                </c:pt>
                <c:pt idx="6">
                  <c:v>-1.0051476325718881E-2</c:v>
                </c:pt>
                <c:pt idx="7">
                  <c:v>-3.780314224330283E-3</c:v>
                </c:pt>
                <c:pt idx="8">
                  <c:v>-7.3586889702711893E-3</c:v>
                </c:pt>
                <c:pt idx="9">
                  <c:v>-4.3737162903595183E-3</c:v>
                </c:pt>
                <c:pt idx="10">
                  <c:v>-5.9412291693928948E-3</c:v>
                </c:pt>
                <c:pt idx="11">
                  <c:v>-2.2769331547870929E-2</c:v>
                </c:pt>
                <c:pt idx="12">
                  <c:v>-1.9224254352372652E-2</c:v>
                </c:pt>
                <c:pt idx="13">
                  <c:v>-3.1280476037562868E-3</c:v>
                </c:pt>
                <c:pt idx="14">
                  <c:v>-5.720241628486891E-3</c:v>
                </c:pt>
                <c:pt idx="15">
                  <c:v>-4.2846308309589009E-3</c:v>
                </c:pt>
                <c:pt idx="16">
                  <c:v>-8.1841981234784481E-3</c:v>
                </c:pt>
                <c:pt idx="17">
                  <c:v>-9.2553524026745219E-3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B-4342-B78D-F42FB30A5076}"/>
            </c:ext>
          </c:extLst>
        </c:ser>
        <c:ser>
          <c:idx val="2"/>
          <c:order val="2"/>
          <c:tx>
            <c:v>95% CI -- upper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Apartment!$H$3:$H$20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Apartment!$G$3:$G$20</c:f>
              <c:numCache>
                <c:formatCode>General</c:formatCode>
                <c:ptCount val="18"/>
                <c:pt idx="0">
                  <c:v>7.9938017706556036E-3</c:v>
                </c:pt>
                <c:pt idx="1">
                  <c:v>6.9294713455987679E-3</c:v>
                </c:pt>
                <c:pt idx="2">
                  <c:v>4.8959488117657551E-3</c:v>
                </c:pt>
                <c:pt idx="3">
                  <c:v>3.9994172623166752E-3</c:v>
                </c:pt>
                <c:pt idx="4">
                  <c:v>4.8513194739567677E-3</c:v>
                </c:pt>
                <c:pt idx="5">
                  <c:v>1.7224320238560811E-2</c:v>
                </c:pt>
                <c:pt idx="6">
                  <c:v>4.552864514863344E-3</c:v>
                </c:pt>
                <c:pt idx="7">
                  <c:v>1.3334463659729959E-2</c:v>
                </c:pt>
                <c:pt idx="8">
                  <c:v>4.0972383783101536E-3</c:v>
                </c:pt>
                <c:pt idx="9">
                  <c:v>4.4214555758344863E-3</c:v>
                </c:pt>
                <c:pt idx="10">
                  <c:v>3.7744040068067211E-2</c:v>
                </c:pt>
                <c:pt idx="11">
                  <c:v>2.4071530582456379E-3</c:v>
                </c:pt>
                <c:pt idx="12">
                  <c:v>8.1227498811365043E-3</c:v>
                </c:pt>
                <c:pt idx="13">
                  <c:v>8.0371242381112006E-3</c:v>
                </c:pt>
                <c:pt idx="14">
                  <c:v>5.3103021268753907E-3</c:v>
                </c:pt>
                <c:pt idx="15">
                  <c:v>4.5774390460572622E-3</c:v>
                </c:pt>
                <c:pt idx="16">
                  <c:v>3.260360559252462E-3</c:v>
                </c:pt>
                <c:pt idx="17">
                  <c:v>5.6872593942293376E-3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FB-4342-B78D-F42FB30A5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027679"/>
        <c:axId val="1191028159"/>
      </c:lineChart>
      <c:catAx>
        <c:axId val="119102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28159"/>
        <c:crosses val="autoZero"/>
        <c:auto val="1"/>
        <c:lblAlgn val="ctr"/>
        <c:lblOffset val="100"/>
        <c:noMultiLvlLbl val="0"/>
      </c:catAx>
      <c:valAx>
        <c:axId val="11910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2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OLS Point Estimate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'Low-Rise Multi-Unit Housing'!$H$3:$H$20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'Low-Rise Multi-Unit Housing'!$B$3:$B$20</c:f>
              <c:numCache>
                <c:formatCode>General</c:formatCode>
                <c:ptCount val="18"/>
                <c:pt idx="0">
                  <c:v>-6.6467194546204755E-4</c:v>
                </c:pt>
                <c:pt idx="1">
                  <c:v>-1.2490951160403221E-3</c:v>
                </c:pt>
                <c:pt idx="2">
                  <c:v>-4.7762413838037249E-4</c:v>
                </c:pt>
                <c:pt idx="3">
                  <c:v>-2.4016135764381999E-4</c:v>
                </c:pt>
                <c:pt idx="4">
                  <c:v>3.7712562704494967E-4</c:v>
                </c:pt>
                <c:pt idx="5">
                  <c:v>2.0498170654353891E-3</c:v>
                </c:pt>
                <c:pt idx="6">
                  <c:v>8.9783131402898508E-4</c:v>
                </c:pt>
                <c:pt idx="7">
                  <c:v>2.4209686921521372E-3</c:v>
                </c:pt>
                <c:pt idx="8">
                  <c:v>1.15905030651775E-3</c:v>
                </c:pt>
                <c:pt idx="9">
                  <c:v>1.12552168668234E-4</c:v>
                </c:pt>
                <c:pt idx="10">
                  <c:v>5.0106175847330903E-3</c:v>
                </c:pt>
                <c:pt idx="11">
                  <c:v>-3.03747332657478E-3</c:v>
                </c:pt>
                <c:pt idx="12">
                  <c:v>-2.1460767677705661E-3</c:v>
                </c:pt>
                <c:pt idx="13">
                  <c:v>7.2716604597844459E-4</c:v>
                </c:pt>
                <c:pt idx="14">
                  <c:v>6.1735910943538919E-4</c:v>
                </c:pt>
                <c:pt idx="15">
                  <c:v>8.121578998780965E-4</c:v>
                </c:pt>
                <c:pt idx="16">
                  <c:v>3.9026510206263692E-4</c:v>
                </c:pt>
                <c:pt idx="17">
                  <c:v>9.6386200479270379E-4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1-407B-8467-E562CC91E716}"/>
            </c:ext>
          </c:extLst>
        </c:ser>
        <c:ser>
          <c:idx val="1"/>
          <c:order val="1"/>
          <c:tx>
            <c:v>95% CI -- lower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'Low-Rise Multi-Unit Housing'!$H$3:$H$20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'Low-Rise Multi-Unit Housing'!$F$3:$F$20</c:f>
              <c:numCache>
                <c:formatCode>General</c:formatCode>
                <c:ptCount val="18"/>
                <c:pt idx="0">
                  <c:v>-3.856650982719023E-3</c:v>
                </c:pt>
                <c:pt idx="1">
                  <c:v>-4.1968607287293678E-3</c:v>
                </c:pt>
                <c:pt idx="2">
                  <c:v>-2.6228719344254382E-3</c:v>
                </c:pt>
                <c:pt idx="3">
                  <c:v>-2.6280140231369339E-3</c:v>
                </c:pt>
                <c:pt idx="4">
                  <c:v>-1.307727902134683E-3</c:v>
                </c:pt>
                <c:pt idx="5">
                  <c:v>-4.6831684923876642E-4</c:v>
                </c:pt>
                <c:pt idx="6">
                  <c:v>-1.8977304649796739E-3</c:v>
                </c:pt>
                <c:pt idx="7">
                  <c:v>-1.591459310202112E-3</c:v>
                </c:pt>
                <c:pt idx="8">
                  <c:v>-7.0079446308283469E-4</c:v>
                </c:pt>
                <c:pt idx="9">
                  <c:v>-1.13023117706261E-3</c:v>
                </c:pt>
                <c:pt idx="10">
                  <c:v>-1.077040495078367E-3</c:v>
                </c:pt>
                <c:pt idx="11">
                  <c:v>-7.6522508745403197E-3</c:v>
                </c:pt>
                <c:pt idx="12">
                  <c:v>-5.8682980459928737E-3</c:v>
                </c:pt>
                <c:pt idx="13">
                  <c:v>-9.2171524709043322E-4</c:v>
                </c:pt>
                <c:pt idx="14">
                  <c:v>-8.6104607193105581E-4</c:v>
                </c:pt>
                <c:pt idx="15">
                  <c:v>-1.1212563721012031E-3</c:v>
                </c:pt>
                <c:pt idx="16">
                  <c:v>-1.091379914768018E-3</c:v>
                </c:pt>
                <c:pt idx="17">
                  <c:v>-9.8369478339980598E-4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1-407B-8467-E562CC91E716}"/>
            </c:ext>
          </c:extLst>
        </c:ser>
        <c:ser>
          <c:idx val="2"/>
          <c:order val="2"/>
          <c:tx>
            <c:v>95% CI -- upper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'Low-Rise Multi-Unit Housing'!$H$3:$H$20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'Low-Rise Multi-Unit Housing'!$G$3:$G$20</c:f>
              <c:numCache>
                <c:formatCode>General</c:formatCode>
                <c:ptCount val="18"/>
                <c:pt idx="0">
                  <c:v>2.5273070917949279E-3</c:v>
                </c:pt>
                <c:pt idx="1">
                  <c:v>1.6986704966487241E-3</c:v>
                </c:pt>
                <c:pt idx="2">
                  <c:v>1.6676236576646929E-3</c:v>
                </c:pt>
                <c:pt idx="3">
                  <c:v>2.147691307849294E-3</c:v>
                </c:pt>
                <c:pt idx="4">
                  <c:v>2.0619791562245821E-3</c:v>
                </c:pt>
                <c:pt idx="5">
                  <c:v>4.5679509801095433E-3</c:v>
                </c:pt>
                <c:pt idx="6">
                  <c:v>3.6933930930376441E-3</c:v>
                </c:pt>
                <c:pt idx="7">
                  <c:v>6.4333966945063856E-3</c:v>
                </c:pt>
                <c:pt idx="8">
                  <c:v>3.0188950761183349E-3</c:v>
                </c:pt>
                <c:pt idx="9">
                  <c:v>1.3553355143990781E-3</c:v>
                </c:pt>
                <c:pt idx="10">
                  <c:v>1.1098275664544551E-2</c:v>
                </c:pt>
                <c:pt idx="11">
                  <c:v>1.57730422139076E-3</c:v>
                </c:pt>
                <c:pt idx="12">
                  <c:v>1.576144510451741E-3</c:v>
                </c:pt>
                <c:pt idx="13">
                  <c:v>2.376047339047322E-3</c:v>
                </c:pt>
                <c:pt idx="14">
                  <c:v>2.095764290801834E-3</c:v>
                </c:pt>
                <c:pt idx="15">
                  <c:v>2.7455721718573959E-3</c:v>
                </c:pt>
                <c:pt idx="16">
                  <c:v>1.8719101188932909E-3</c:v>
                </c:pt>
                <c:pt idx="17">
                  <c:v>2.9114187929852142E-3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E1-407B-8467-E562CC91E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067296"/>
        <c:axId val="1375072576"/>
      </c:lineChart>
      <c:catAx>
        <c:axId val="137506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72576"/>
        <c:crosses val="autoZero"/>
        <c:auto val="1"/>
        <c:lblAlgn val="ctr"/>
        <c:lblOffset val="100"/>
        <c:noMultiLvlLbl val="0"/>
      </c:catAx>
      <c:valAx>
        <c:axId val="13750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OLS Point Estimate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'Single-Family House'!$H$3:$H$20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'Single-Family House'!$B$3:$B$20</c:f>
              <c:numCache>
                <c:formatCode>General</c:formatCode>
                <c:ptCount val="18"/>
                <c:pt idx="0">
                  <c:v>-2.660060089038629E-3</c:v>
                </c:pt>
                <c:pt idx="1">
                  <c:v>-2.1648699559863038E-3</c:v>
                </c:pt>
                <c:pt idx="2">
                  <c:v>1.5732690203073001E-3</c:v>
                </c:pt>
                <c:pt idx="3">
                  <c:v>2.4043445314900769E-3</c:v>
                </c:pt>
                <c:pt idx="4">
                  <c:v>1.183600113667582E-3</c:v>
                </c:pt>
                <c:pt idx="5">
                  <c:v>5.5253983035732368E-3</c:v>
                </c:pt>
                <c:pt idx="6">
                  <c:v>7.051199213495063E-3</c:v>
                </c:pt>
                <c:pt idx="7">
                  <c:v>2.523791446544799E-3</c:v>
                </c:pt>
                <c:pt idx="8">
                  <c:v>6.79649370623292E-3</c:v>
                </c:pt>
                <c:pt idx="9">
                  <c:v>1.0984230352873331E-2</c:v>
                </c:pt>
                <c:pt idx="10">
                  <c:v>7.5361562133270388E-3</c:v>
                </c:pt>
                <c:pt idx="11">
                  <c:v>-1.050845408833145E-2</c:v>
                </c:pt>
                <c:pt idx="12">
                  <c:v>-4.2857097858214899E-3</c:v>
                </c:pt>
                <c:pt idx="13">
                  <c:v>3.239802365641697E-3</c:v>
                </c:pt>
                <c:pt idx="14">
                  <c:v>3.4869758783451221E-3</c:v>
                </c:pt>
                <c:pt idx="15">
                  <c:v>3.2487335470479111E-3</c:v>
                </c:pt>
                <c:pt idx="16">
                  <c:v>5.0830946164587276E-3</c:v>
                </c:pt>
                <c:pt idx="17">
                  <c:v>4.4992561106870221E-3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21-4F0B-81E2-FA25831B17F6}"/>
            </c:ext>
          </c:extLst>
        </c:ser>
        <c:ser>
          <c:idx val="1"/>
          <c:order val="1"/>
          <c:tx>
            <c:v>95% CI -- lower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'Single-Family House'!$H$3:$H$20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'Single-Family House'!$F$3:$F$20</c:f>
              <c:numCache>
                <c:formatCode>General</c:formatCode>
                <c:ptCount val="18"/>
                <c:pt idx="0">
                  <c:v>-1.2670486202704201E-2</c:v>
                </c:pt>
                <c:pt idx="1">
                  <c:v>-1.2364564788012801E-2</c:v>
                </c:pt>
                <c:pt idx="2">
                  <c:v>-3.8632207744648882E-3</c:v>
                </c:pt>
                <c:pt idx="3">
                  <c:v>-2.8863156793359308E-3</c:v>
                </c:pt>
                <c:pt idx="4">
                  <c:v>-4.9023307280075933E-3</c:v>
                </c:pt>
                <c:pt idx="5">
                  <c:v>-1.4940533010244369E-4</c:v>
                </c:pt>
                <c:pt idx="6">
                  <c:v>-2.3616513105475991E-3</c:v>
                </c:pt>
                <c:pt idx="7">
                  <c:v>-1.99193691233241E-2</c:v>
                </c:pt>
                <c:pt idx="8">
                  <c:v>-2.055838492889137E-3</c:v>
                </c:pt>
                <c:pt idx="9">
                  <c:v>-2.7774177169241012E-3</c:v>
                </c:pt>
                <c:pt idx="10">
                  <c:v>-7.5470614810345758E-3</c:v>
                </c:pt>
                <c:pt idx="11">
                  <c:v>-2.1314681149130429E-2</c:v>
                </c:pt>
                <c:pt idx="12">
                  <c:v>-1.8039231002347261E-2</c:v>
                </c:pt>
                <c:pt idx="13">
                  <c:v>-2.1163486290466829E-3</c:v>
                </c:pt>
                <c:pt idx="14">
                  <c:v>-2.0317061422883442E-3</c:v>
                </c:pt>
                <c:pt idx="15">
                  <c:v>-1.4215961316920711E-3</c:v>
                </c:pt>
                <c:pt idx="16">
                  <c:v>-7.2797057235792374E-4</c:v>
                </c:pt>
                <c:pt idx="17">
                  <c:v>-1.178969125485562E-3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21-4F0B-81E2-FA25831B17F6}"/>
            </c:ext>
          </c:extLst>
        </c:ser>
        <c:ser>
          <c:idx val="2"/>
          <c:order val="2"/>
          <c:tx>
            <c:v>95% CI -- upper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'Single-Family House'!$H$3:$H$20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'Single-Family House'!$G$3:$G$20</c:f>
              <c:numCache>
                <c:formatCode>General</c:formatCode>
                <c:ptCount val="18"/>
                <c:pt idx="0">
                  <c:v>7.3503660246269382E-3</c:v>
                </c:pt>
                <c:pt idx="1">
                  <c:v>8.034824876040193E-3</c:v>
                </c:pt>
                <c:pt idx="2">
                  <c:v>7.009758815079487E-3</c:v>
                </c:pt>
                <c:pt idx="3">
                  <c:v>7.6950047423160854E-3</c:v>
                </c:pt>
                <c:pt idx="4">
                  <c:v>7.2695309553427578E-3</c:v>
                </c:pt>
                <c:pt idx="5">
                  <c:v>1.1200201937248921E-2</c:v>
                </c:pt>
                <c:pt idx="6">
                  <c:v>1.646404973753773E-2</c:v>
                </c:pt>
                <c:pt idx="7">
                  <c:v>2.496695201641369E-2</c:v>
                </c:pt>
                <c:pt idx="8">
                  <c:v>1.564882590535498E-2</c:v>
                </c:pt>
                <c:pt idx="9">
                  <c:v>2.4745878422670751E-2</c:v>
                </c:pt>
                <c:pt idx="10">
                  <c:v>2.2619373907688652E-2</c:v>
                </c:pt>
                <c:pt idx="11">
                  <c:v>2.9777297246752488E-4</c:v>
                </c:pt>
                <c:pt idx="12">
                  <c:v>9.4678114307042843E-3</c:v>
                </c:pt>
                <c:pt idx="13">
                  <c:v>8.5959533603300782E-3</c:v>
                </c:pt>
                <c:pt idx="14">
                  <c:v>9.005657898978588E-3</c:v>
                </c:pt>
                <c:pt idx="15">
                  <c:v>7.9190632257878923E-3</c:v>
                </c:pt>
                <c:pt idx="16">
                  <c:v>1.089415980527538E-2</c:v>
                </c:pt>
                <c:pt idx="17">
                  <c:v>1.0177481346859611E-2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21-4F0B-81E2-FA25831B1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099456"/>
        <c:axId val="1375098976"/>
      </c:lineChart>
      <c:catAx>
        <c:axId val="13750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98976"/>
        <c:crosses val="autoZero"/>
        <c:auto val="1"/>
        <c:lblAlgn val="ctr"/>
        <c:lblOffset val="100"/>
        <c:noMultiLvlLbl val="0"/>
      </c:catAx>
      <c:valAx>
        <c:axId val="137509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9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9ABA9-2918-A8B1-B3F3-3D535C196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6</xdr:row>
      <xdr:rowOff>63500</xdr:rowOff>
    </xdr:from>
    <xdr:to>
      <xdr:col>16</xdr:col>
      <xdr:colOff>581025</xdr:colOff>
      <xdr:row>21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CA4A7-68AB-BEEB-5D33-26B643004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555625</xdr:colOff>
      <xdr:row>5</xdr:row>
      <xdr:rowOff>50800</xdr:rowOff>
    </xdr:from>
    <xdr:to>
      <xdr:col>16</xdr:col>
      <xdr:colOff>250825</xdr:colOff>
      <xdr:row>20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7A221-9D3B-E0E4-CE9B-15E206B76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22225</xdr:colOff>
      <xdr:row>5</xdr:row>
      <xdr:rowOff>44450</xdr:rowOff>
    </xdr:from>
    <xdr:to>
      <xdr:col>16</xdr:col>
      <xdr:colOff>327025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DB970-64E0-8A26-E78D-A9F13ED4A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zoomScale="99" workbookViewId="0">
      <selection activeCell="T13" sqref="T13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35">
      <c r="A2" s="1" t="s">
        <v>6</v>
      </c>
      <c r="B2">
        <v>-0.34820704230877908</v>
      </c>
      <c r="C2">
        <v>0.17052181877422859</v>
      </c>
      <c r="D2">
        <v>-2.0420087283364379</v>
      </c>
      <c r="E2">
        <v>4.115066553551542E-2</v>
      </c>
      <c r="F2">
        <v>-0.68242366568453305</v>
      </c>
      <c r="G2">
        <v>-1.3990418933025051E-2</v>
      </c>
    </row>
    <row r="3" spans="1:8" x14ac:dyDescent="0.35">
      <c r="A3" s="1" t="s">
        <v>7</v>
      </c>
      <c r="B3">
        <v>-3.7830607199501598E-3</v>
      </c>
      <c r="C3">
        <v>4.8543958407231604E-3</v>
      </c>
      <c r="D3">
        <v>-0.77930618846826394</v>
      </c>
      <c r="E3">
        <v>0.43579937010897241</v>
      </c>
      <c r="F3">
        <v>-1.329750173446859E-2</v>
      </c>
      <c r="G3">
        <v>5.731380294568272E-3</v>
      </c>
      <c r="H3">
        <f>VALUE(_xlfn.TEXTAFTER(A3,"_"))</f>
        <v>-6</v>
      </c>
    </row>
    <row r="4" spans="1:8" x14ac:dyDescent="0.35">
      <c r="A4" s="1" t="s">
        <v>8</v>
      </c>
      <c r="B4">
        <v>-3.577799327391884E-3</v>
      </c>
      <c r="C4">
        <v>4.7986761987228524E-3</v>
      </c>
      <c r="D4">
        <v>-0.74558048495626794</v>
      </c>
      <c r="E4">
        <v>0.45592087515640028</v>
      </c>
      <c r="F4">
        <v>-1.2983031850358239E-2</v>
      </c>
      <c r="G4">
        <v>5.8274331955744767E-3</v>
      </c>
      <c r="H4">
        <f t="shared" ref="H4:H20" si="0">VALUE(_xlfn.TEXTAFTER(A4,"_"))</f>
        <v>-5</v>
      </c>
    </row>
    <row r="5" spans="1:8" x14ac:dyDescent="0.35">
      <c r="A5" s="1" t="s">
        <v>9</v>
      </c>
      <c r="B5">
        <v>-1.213775488150048E-3</v>
      </c>
      <c r="C5">
        <v>2.629987072257292E-3</v>
      </c>
      <c r="D5">
        <v>-0.46151386101996178</v>
      </c>
      <c r="E5">
        <v>0.64442997913173838</v>
      </c>
      <c r="F5">
        <v>-6.3684554295802822E-3</v>
      </c>
      <c r="G5">
        <v>3.9409044532801854E-3</v>
      </c>
      <c r="H5">
        <f t="shared" si="0"/>
        <v>-4</v>
      </c>
    </row>
    <row r="6" spans="1:8" x14ac:dyDescent="0.35">
      <c r="A6" s="1" t="s">
        <v>10</v>
      </c>
      <c r="B6">
        <v>-8.1638062385480659E-4</v>
      </c>
      <c r="C6">
        <v>2.2331732730978379E-3</v>
      </c>
      <c r="D6">
        <v>-0.36556976285245019</v>
      </c>
      <c r="E6">
        <v>0.71468614131612707</v>
      </c>
      <c r="F6">
        <v>-5.1933198103639991E-3</v>
      </c>
      <c r="G6">
        <v>3.5605585626543859E-3</v>
      </c>
      <c r="H6">
        <f t="shared" si="0"/>
        <v>-3</v>
      </c>
    </row>
    <row r="7" spans="1:8" x14ac:dyDescent="0.35">
      <c r="A7" s="1" t="s">
        <v>11</v>
      </c>
      <c r="B7">
        <v>9.8915789071285509E-5</v>
      </c>
      <c r="C7">
        <v>2.123080706694661E-3</v>
      </c>
      <c r="D7">
        <v>4.6590687183665068E-2</v>
      </c>
      <c r="E7">
        <v>0.96283945452234465</v>
      </c>
      <c r="F7">
        <v>-4.0622459323220953E-3</v>
      </c>
      <c r="G7">
        <v>4.2600775104646663E-3</v>
      </c>
      <c r="H7">
        <f t="shared" si="0"/>
        <v>-2</v>
      </c>
    </row>
    <row r="8" spans="1:8" x14ac:dyDescent="0.35">
      <c r="A8" s="1" t="s">
        <v>12</v>
      </c>
      <c r="B8">
        <v>5.5627705587926179E-3</v>
      </c>
      <c r="C8">
        <v>3.7280823289912051E-3</v>
      </c>
      <c r="D8">
        <v>1.4921265325966839</v>
      </c>
      <c r="E8">
        <v>0.1356659774488537</v>
      </c>
      <c r="F8">
        <v>-1.744136537430349E-3</v>
      </c>
      <c r="G8">
        <v>1.2869677655015579E-2</v>
      </c>
      <c r="H8">
        <f t="shared" si="0"/>
        <v>0</v>
      </c>
    </row>
    <row r="9" spans="1:8" x14ac:dyDescent="0.35">
      <c r="A9" s="1" t="s">
        <v>13</v>
      </c>
      <c r="B9">
        <v>6.9114888274990349E-5</v>
      </c>
      <c r="C9">
        <v>2.8765624319067608E-3</v>
      </c>
      <c r="D9">
        <v>2.4026903608407611E-2</v>
      </c>
      <c r="E9">
        <v>0.98083114892240153</v>
      </c>
      <c r="F9">
        <v>-5.568843877543213E-3</v>
      </c>
      <c r="G9">
        <v>5.7070736540931937E-3</v>
      </c>
      <c r="H9">
        <f t="shared" si="0"/>
        <v>1</v>
      </c>
    </row>
    <row r="10" spans="1:8" x14ac:dyDescent="0.35">
      <c r="A10" s="1" t="s">
        <v>14</v>
      </c>
      <c r="B10">
        <v>4.194009186175407E-3</v>
      </c>
      <c r="C10">
        <v>4.6770043303657168E-3</v>
      </c>
      <c r="D10">
        <v>0.89672980607385022</v>
      </c>
      <c r="E10">
        <v>0.36986311183968568</v>
      </c>
      <c r="F10">
        <v>-4.9727508568792704E-3</v>
      </c>
      <c r="G10">
        <v>1.3360769229230079E-2</v>
      </c>
      <c r="H10">
        <f t="shared" si="0"/>
        <v>2</v>
      </c>
    </row>
    <row r="11" spans="1:8" x14ac:dyDescent="0.35">
      <c r="A11" s="1" t="s">
        <v>15</v>
      </c>
      <c r="B11">
        <v>5.8580775449512679E-5</v>
      </c>
      <c r="C11">
        <v>2.3273444832296731E-3</v>
      </c>
      <c r="D11">
        <v>2.5170650873402159E-2</v>
      </c>
      <c r="E11">
        <v>0.97991884674662311</v>
      </c>
      <c r="F11">
        <v>-4.5029305912986303E-3</v>
      </c>
      <c r="G11">
        <v>4.6200921421976557E-3</v>
      </c>
      <c r="H11">
        <f t="shared" si="0"/>
        <v>3</v>
      </c>
    </row>
    <row r="12" spans="1:8" x14ac:dyDescent="0.35">
      <c r="A12" s="1" t="s">
        <v>16</v>
      </c>
      <c r="B12">
        <v>1.3338171726440251E-3</v>
      </c>
      <c r="C12">
        <v>2.2124837672507429E-3</v>
      </c>
      <c r="D12">
        <v>0.60285964235635559</v>
      </c>
      <c r="E12">
        <v>0.54660206575976056</v>
      </c>
      <c r="F12">
        <v>-3.00257132754693E-3</v>
      </c>
      <c r="G12">
        <v>5.6702056728349806E-3</v>
      </c>
      <c r="H12">
        <f t="shared" si="0"/>
        <v>4</v>
      </c>
    </row>
    <row r="13" spans="1:8" x14ac:dyDescent="0.35">
      <c r="A13" s="1" t="s">
        <v>17</v>
      </c>
      <c r="B13">
        <v>1.1493763393614079E-2</v>
      </c>
      <c r="C13">
        <v>8.291506254847595E-3</v>
      </c>
      <c r="D13">
        <v>1.386209337645292</v>
      </c>
      <c r="E13">
        <v>0.16568299104837159</v>
      </c>
      <c r="F13">
        <v>-4.7572902434757959E-3</v>
      </c>
      <c r="G13">
        <v>2.7744817030703951E-2</v>
      </c>
      <c r="H13">
        <f t="shared" si="0"/>
        <v>5</v>
      </c>
    </row>
    <row r="14" spans="1:8" x14ac:dyDescent="0.35">
      <c r="A14" s="1" t="s">
        <v>18</v>
      </c>
      <c r="B14">
        <v>-7.918612245961909E-3</v>
      </c>
      <c r="C14">
        <v>5.2167115555565736E-3</v>
      </c>
      <c r="D14">
        <v>-1.5179317778318431</v>
      </c>
      <c r="E14">
        <v>0.129031597952938</v>
      </c>
      <c r="F14">
        <v>-1.8143179012586719E-2</v>
      </c>
      <c r="G14">
        <v>2.3059545206628972E-3</v>
      </c>
      <c r="H14">
        <f t="shared" si="0"/>
        <v>6</v>
      </c>
    </row>
    <row r="15" spans="1:8" x14ac:dyDescent="0.35">
      <c r="A15" s="1" t="s">
        <v>19</v>
      </c>
      <c r="B15">
        <v>-3.454005054503773E-3</v>
      </c>
      <c r="C15">
        <v>5.5720710132191728E-3</v>
      </c>
      <c r="D15">
        <v>-0.61987814697793631</v>
      </c>
      <c r="E15">
        <v>0.5353380140891344</v>
      </c>
      <c r="F15">
        <v>-1.437506355971296E-2</v>
      </c>
      <c r="G15">
        <v>7.4670534507054144E-3</v>
      </c>
      <c r="H15">
        <f t="shared" si="0"/>
        <v>7</v>
      </c>
    </row>
    <row r="16" spans="1:8" x14ac:dyDescent="0.35">
      <c r="A16" s="1" t="s">
        <v>20</v>
      </c>
      <c r="B16">
        <v>2.559419382284545E-3</v>
      </c>
      <c r="C16">
        <v>2.1494834460235989E-3</v>
      </c>
      <c r="D16">
        <v>1.1907136977580819</v>
      </c>
      <c r="E16">
        <v>0.2337659986770613</v>
      </c>
      <c r="F16">
        <v>-1.653490757286756E-3</v>
      </c>
      <c r="G16">
        <v>6.7723295218558447E-3</v>
      </c>
      <c r="H16">
        <f t="shared" si="0"/>
        <v>8</v>
      </c>
    </row>
    <row r="17" spans="1:8" x14ac:dyDescent="0.35">
      <c r="A17" s="1" t="s">
        <v>21</v>
      </c>
      <c r="B17">
        <v>2.5625849864763239E-5</v>
      </c>
      <c r="C17">
        <v>2.0879959107357781E-3</v>
      </c>
      <c r="D17">
        <v>1.227294063795991E-2</v>
      </c>
      <c r="E17">
        <v>0.99020785597367178</v>
      </c>
      <c r="F17">
        <v>-4.0667709350442711E-3</v>
      </c>
      <c r="G17">
        <v>4.1180226347737976E-3</v>
      </c>
      <c r="H17">
        <f t="shared" si="0"/>
        <v>9</v>
      </c>
    </row>
    <row r="18" spans="1:8" x14ac:dyDescent="0.35">
      <c r="A18" s="1" t="s">
        <v>22</v>
      </c>
      <c r="B18">
        <v>4.495403986795043E-4</v>
      </c>
      <c r="C18">
        <v>1.7514767021066381E-3</v>
      </c>
      <c r="D18">
        <v>0.25666364738897579</v>
      </c>
      <c r="E18">
        <v>0.79743843678914905</v>
      </c>
      <c r="F18">
        <v>-2.9832908572104948E-3</v>
      </c>
      <c r="G18">
        <v>3.882371654569504E-3</v>
      </c>
      <c r="H18">
        <f t="shared" si="0"/>
        <v>10</v>
      </c>
    </row>
    <row r="19" spans="1:8" x14ac:dyDescent="0.35">
      <c r="A19" s="1" t="s">
        <v>23</v>
      </c>
      <c r="B19">
        <v>-5.7463786339617684E-4</v>
      </c>
      <c r="C19">
        <v>2.24489573174718E-3</v>
      </c>
      <c r="D19">
        <v>-0.25597530222436737</v>
      </c>
      <c r="E19">
        <v>0.79796990808861445</v>
      </c>
      <c r="F19">
        <v>-4.9745526466683397E-3</v>
      </c>
      <c r="G19">
        <v>3.825276919875986E-3</v>
      </c>
      <c r="H19">
        <f t="shared" si="0"/>
        <v>11</v>
      </c>
    </row>
    <row r="20" spans="1:8" x14ac:dyDescent="0.35">
      <c r="A20" s="1" t="s">
        <v>24</v>
      </c>
      <c r="B20">
        <v>6.5919182557272471E-5</v>
      </c>
      <c r="C20">
        <v>2.333882634213265E-3</v>
      </c>
      <c r="D20">
        <v>2.8244429086080991E-2</v>
      </c>
      <c r="E20">
        <v>0.97746720205825088</v>
      </c>
      <c r="F20">
        <v>-4.5084067246441957E-3</v>
      </c>
      <c r="G20">
        <v>4.6402450897587407E-3</v>
      </c>
      <c r="H20">
        <f t="shared" si="0"/>
        <v>12</v>
      </c>
    </row>
    <row r="21" spans="1:8" x14ac:dyDescent="0.35">
      <c r="A21" s="1" t="s">
        <v>25</v>
      </c>
      <c r="B21">
        <v>0.48111662819588469</v>
      </c>
      <c r="C21">
        <v>7.5670935768002878E-2</v>
      </c>
      <c r="D21">
        <v>6.3580108176661767</v>
      </c>
      <c r="E21">
        <v>2.0438308116132339E-10</v>
      </c>
      <c r="F21">
        <v>0.33280431941415528</v>
      </c>
      <c r="G21">
        <v>0.62942893697761415</v>
      </c>
    </row>
    <row r="22" spans="1:8" x14ac:dyDescent="0.35">
      <c r="A22" s="1" t="s">
        <v>26</v>
      </c>
      <c r="B22">
        <v>0.43999984485078159</v>
      </c>
      <c r="C22">
        <v>5.7339874674230983E-2</v>
      </c>
      <c r="D22">
        <v>7.6735404001244047</v>
      </c>
      <c r="E22">
        <v>1.673128023746186E-14</v>
      </c>
      <c r="F22">
        <v>0.3276157556112485</v>
      </c>
      <c r="G22">
        <v>0.55238393409031472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G36" sqref="G36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35">
      <c r="A2" s="1" t="s">
        <v>6</v>
      </c>
      <c r="B2">
        <v>-0.39767886622065868</v>
      </c>
      <c r="C2">
        <v>0.20006890197563801</v>
      </c>
      <c r="D2">
        <v>-1.9877095455298861</v>
      </c>
      <c r="E2">
        <v>4.6843822608310347E-2</v>
      </c>
      <c r="F2">
        <v>-0.78980670851938362</v>
      </c>
      <c r="G2">
        <v>-5.5510239219337953E-3</v>
      </c>
    </row>
    <row r="3" spans="1:8" x14ac:dyDescent="0.35">
      <c r="A3" s="1" t="s">
        <v>7</v>
      </c>
      <c r="B3">
        <v>-5.0256363340741572E-3</v>
      </c>
      <c r="C3">
        <v>6.642692522630736E-3</v>
      </c>
      <c r="D3">
        <v>-0.75656615400344185</v>
      </c>
      <c r="E3">
        <v>0.44930982510429701</v>
      </c>
      <c r="F3">
        <v>-1.8045074438803922E-2</v>
      </c>
      <c r="G3">
        <v>7.9938017706556036E-3</v>
      </c>
      <c r="H3">
        <f>VALUE(_xlfn.TEXTAFTER(A3,"_"))</f>
        <v>-6</v>
      </c>
    </row>
    <row r="4" spans="1:8" x14ac:dyDescent="0.35">
      <c r="A4" s="1" t="s">
        <v>8</v>
      </c>
      <c r="B4">
        <v>-5.4464663042648187E-3</v>
      </c>
      <c r="C4">
        <v>6.3143699310208778E-3</v>
      </c>
      <c r="D4">
        <v>-0.86255103260702681</v>
      </c>
      <c r="E4">
        <v>0.38838436317484798</v>
      </c>
      <c r="F4">
        <v>-1.7822403954128409E-2</v>
      </c>
      <c r="G4">
        <v>6.9294713455987679E-3</v>
      </c>
      <c r="H4">
        <f t="shared" ref="H4:H20" si="0">VALUE(_xlfn.TEXTAFTER(A4,"_"))</f>
        <v>-5</v>
      </c>
    </row>
    <row r="5" spans="1:8" x14ac:dyDescent="0.35">
      <c r="A5" s="1" t="s">
        <v>9</v>
      </c>
      <c r="B5">
        <v>-2.1410386335769531E-3</v>
      </c>
      <c r="C5">
        <v>3.590365690823692E-3</v>
      </c>
      <c r="D5">
        <v>-0.59632884723944679</v>
      </c>
      <c r="E5">
        <v>0.55095556340977137</v>
      </c>
      <c r="F5">
        <v>-9.1780260789196613E-3</v>
      </c>
      <c r="G5">
        <v>4.8959488117657551E-3</v>
      </c>
      <c r="H5">
        <f t="shared" si="0"/>
        <v>-4</v>
      </c>
    </row>
    <row r="6" spans="1:8" x14ac:dyDescent="0.35">
      <c r="A6" s="1" t="s">
        <v>10</v>
      </c>
      <c r="B6">
        <v>-2.5687343446079152E-3</v>
      </c>
      <c r="C6">
        <v>3.3511593369742161E-3</v>
      </c>
      <c r="D6">
        <v>-0.76652110100119619</v>
      </c>
      <c r="E6">
        <v>0.44336630137506611</v>
      </c>
      <c r="F6">
        <v>-9.1368859515325047E-3</v>
      </c>
      <c r="G6">
        <v>3.9994172623166752E-3</v>
      </c>
      <c r="H6">
        <f t="shared" si="0"/>
        <v>-3</v>
      </c>
    </row>
    <row r="7" spans="1:8" x14ac:dyDescent="0.35">
      <c r="A7" s="1" t="s">
        <v>11</v>
      </c>
      <c r="B7">
        <v>-6.0576831369840711E-4</v>
      </c>
      <c r="C7">
        <v>2.784279624880859E-3</v>
      </c>
      <c r="D7">
        <v>-0.2175673406812825</v>
      </c>
      <c r="E7">
        <v>0.82776623326366039</v>
      </c>
      <c r="F7">
        <v>-6.0628561013535819E-3</v>
      </c>
      <c r="G7">
        <v>4.8513194739567677E-3</v>
      </c>
      <c r="H7">
        <f t="shared" si="0"/>
        <v>-2</v>
      </c>
    </row>
    <row r="8" spans="1:8" x14ac:dyDescent="0.35">
      <c r="A8" s="1" t="s">
        <v>12</v>
      </c>
      <c r="B8">
        <v>6.5696313442710208E-3</v>
      </c>
      <c r="C8">
        <v>5.4361656532123112E-3</v>
      </c>
      <c r="D8">
        <v>1.2085046268575219</v>
      </c>
      <c r="E8">
        <v>0.2268532171538504</v>
      </c>
      <c r="F8">
        <v>-4.0850575500187662E-3</v>
      </c>
      <c r="G8">
        <v>1.7224320238560811E-2</v>
      </c>
      <c r="H8">
        <f t="shared" si="0"/>
        <v>0</v>
      </c>
    </row>
    <row r="9" spans="1:8" x14ac:dyDescent="0.35">
      <c r="A9" s="1" t="s">
        <v>13</v>
      </c>
      <c r="B9">
        <v>-2.749305905427768E-3</v>
      </c>
      <c r="C9">
        <v>3.7256656131896822E-3</v>
      </c>
      <c r="D9">
        <v>-0.73793683890862771</v>
      </c>
      <c r="E9">
        <v>0.46055283150714288</v>
      </c>
      <c r="F9">
        <v>-1.0051476325718881E-2</v>
      </c>
      <c r="G9">
        <v>4.552864514863344E-3</v>
      </c>
      <c r="H9">
        <f t="shared" si="0"/>
        <v>1</v>
      </c>
    </row>
    <row r="10" spans="1:8" x14ac:dyDescent="0.35">
      <c r="A10" s="1" t="s">
        <v>14</v>
      </c>
      <c r="B10">
        <v>4.7770747176998363E-3</v>
      </c>
      <c r="C10">
        <v>4.3660949943619947E-3</v>
      </c>
      <c r="D10">
        <v>1.0941298171177101</v>
      </c>
      <c r="E10">
        <v>0.27389804685220032</v>
      </c>
      <c r="F10">
        <v>-3.780314224330283E-3</v>
      </c>
      <c r="G10">
        <v>1.3334463659729959E-2</v>
      </c>
      <c r="H10">
        <f t="shared" si="0"/>
        <v>2</v>
      </c>
    </row>
    <row r="11" spans="1:8" x14ac:dyDescent="0.35">
      <c r="A11" s="1" t="s">
        <v>15</v>
      </c>
      <c r="B11">
        <v>-1.630725295980517E-3</v>
      </c>
      <c r="C11">
        <v>2.9224841473986869E-3</v>
      </c>
      <c r="D11">
        <v>-0.5579928628293952</v>
      </c>
      <c r="E11">
        <v>0.5768492578295632</v>
      </c>
      <c r="F11">
        <v>-7.3586889702711893E-3</v>
      </c>
      <c r="G11">
        <v>4.0972383783101536E-3</v>
      </c>
      <c r="H11">
        <f t="shared" si="0"/>
        <v>3</v>
      </c>
    </row>
    <row r="12" spans="1:8" x14ac:dyDescent="0.35">
      <c r="A12" s="1" t="s">
        <v>16</v>
      </c>
      <c r="B12">
        <v>2.3869642737484039E-5</v>
      </c>
      <c r="C12">
        <v>2.243707521048651E-3</v>
      </c>
      <c r="D12">
        <v>1.063848229484384E-2</v>
      </c>
      <c r="E12">
        <v>0.99151187933730911</v>
      </c>
      <c r="F12">
        <v>-4.3737162903595183E-3</v>
      </c>
      <c r="G12">
        <v>4.4214555758344863E-3</v>
      </c>
      <c r="H12">
        <f t="shared" si="0"/>
        <v>4</v>
      </c>
    </row>
    <row r="13" spans="1:8" x14ac:dyDescent="0.35">
      <c r="A13" s="1" t="s">
        <v>17</v>
      </c>
      <c r="B13">
        <v>1.5901405449337162E-2</v>
      </c>
      <c r="C13">
        <v>1.114440611716438E-2</v>
      </c>
      <c r="D13">
        <v>1.4268508597193119</v>
      </c>
      <c r="E13">
        <v>0.15362288765383519</v>
      </c>
      <c r="F13">
        <v>-5.9412291693928948E-3</v>
      </c>
      <c r="G13">
        <v>3.7744040068067211E-2</v>
      </c>
      <c r="H13">
        <f t="shared" si="0"/>
        <v>5</v>
      </c>
    </row>
    <row r="14" spans="1:8" x14ac:dyDescent="0.35">
      <c r="A14" s="1" t="s">
        <v>18</v>
      </c>
      <c r="B14">
        <v>-1.018108924481265E-2</v>
      </c>
      <c r="C14">
        <v>6.4226906220485351E-3</v>
      </c>
      <c r="D14">
        <v>-1.585175099336384</v>
      </c>
      <c r="E14">
        <v>0.1129265563944192</v>
      </c>
      <c r="F14">
        <v>-2.2769331547870929E-2</v>
      </c>
      <c r="G14">
        <v>2.4071530582456379E-3</v>
      </c>
      <c r="H14">
        <f t="shared" si="0"/>
        <v>6</v>
      </c>
    </row>
    <row r="15" spans="1:8" x14ac:dyDescent="0.35">
      <c r="A15" s="1" t="s">
        <v>19</v>
      </c>
      <c r="B15">
        <v>-5.5507522356180727E-3</v>
      </c>
      <c r="C15">
        <v>6.9764047832559257E-3</v>
      </c>
      <c r="D15">
        <v>-0.7956465268386429</v>
      </c>
      <c r="E15">
        <v>0.42623751543844951</v>
      </c>
      <c r="F15">
        <v>-1.9224254352372652E-2</v>
      </c>
      <c r="G15">
        <v>8.1227498811365043E-3</v>
      </c>
      <c r="H15">
        <f t="shared" si="0"/>
        <v>7</v>
      </c>
    </row>
    <row r="16" spans="1:8" x14ac:dyDescent="0.35">
      <c r="A16" s="1" t="s">
        <v>20</v>
      </c>
      <c r="B16">
        <v>2.4545383171774571E-3</v>
      </c>
      <c r="C16">
        <v>2.8483104612985091E-3</v>
      </c>
      <c r="D16">
        <v>0.86175237935911808</v>
      </c>
      <c r="E16">
        <v>0.38882379506216203</v>
      </c>
      <c r="F16">
        <v>-3.1280476037562868E-3</v>
      </c>
      <c r="G16">
        <v>8.0371242381112006E-3</v>
      </c>
      <c r="H16">
        <f t="shared" si="0"/>
        <v>8</v>
      </c>
    </row>
    <row r="17" spans="1:8" x14ac:dyDescent="0.35">
      <c r="A17" s="1" t="s">
        <v>21</v>
      </c>
      <c r="B17">
        <v>-2.0496975080575019E-4</v>
      </c>
      <c r="C17">
        <v>2.8139659305910221E-3</v>
      </c>
      <c r="D17">
        <v>-7.2840167884584181E-2</v>
      </c>
      <c r="E17">
        <v>0.94193330648591611</v>
      </c>
      <c r="F17">
        <v>-5.720241628486891E-3</v>
      </c>
      <c r="G17">
        <v>5.3103021268753907E-3</v>
      </c>
      <c r="H17">
        <f t="shared" si="0"/>
        <v>9</v>
      </c>
    </row>
    <row r="18" spans="1:8" x14ac:dyDescent="0.35">
      <c r="A18" s="1" t="s">
        <v>22</v>
      </c>
      <c r="B18">
        <v>1.4640410754918071E-4</v>
      </c>
      <c r="C18">
        <v>2.2607736537301301E-3</v>
      </c>
      <c r="D18">
        <v>6.4758410160886029E-2</v>
      </c>
      <c r="E18">
        <v>0.94836635578997952</v>
      </c>
      <c r="F18">
        <v>-4.2846308309589009E-3</v>
      </c>
      <c r="G18">
        <v>4.5774390460572622E-3</v>
      </c>
      <c r="H18">
        <f t="shared" si="0"/>
        <v>10</v>
      </c>
    </row>
    <row r="19" spans="1:8" x14ac:dyDescent="0.35">
      <c r="A19" s="1" t="s">
        <v>23</v>
      </c>
      <c r="B19">
        <v>-2.4619187821129929E-3</v>
      </c>
      <c r="C19">
        <v>2.919583924246601E-3</v>
      </c>
      <c r="D19">
        <v>-0.84324302571582743</v>
      </c>
      <c r="E19">
        <v>0.39909253976514308</v>
      </c>
      <c r="F19">
        <v>-8.1841981234784481E-3</v>
      </c>
      <c r="G19">
        <v>3.260360559252462E-3</v>
      </c>
      <c r="H19">
        <f t="shared" si="0"/>
        <v>11</v>
      </c>
    </row>
    <row r="20" spans="1:8" x14ac:dyDescent="0.35">
      <c r="A20" s="1" t="s">
        <v>24</v>
      </c>
      <c r="B20">
        <v>-1.7840465042225919E-3</v>
      </c>
      <c r="C20">
        <v>3.8119608101907171E-3</v>
      </c>
      <c r="D20">
        <v>-0.46801281362945962</v>
      </c>
      <c r="E20">
        <v>0.63977542643726371</v>
      </c>
      <c r="F20">
        <v>-9.2553524026745219E-3</v>
      </c>
      <c r="G20">
        <v>5.6872593942293376E-3</v>
      </c>
      <c r="H20">
        <f t="shared" si="0"/>
        <v>12</v>
      </c>
    </row>
    <row r="21" spans="1:8" x14ac:dyDescent="0.35">
      <c r="A21" s="1" t="s">
        <v>25</v>
      </c>
      <c r="B21">
        <v>0.4713080062473658</v>
      </c>
      <c r="C21">
        <v>7.8935694301478093E-2</v>
      </c>
      <c r="D21">
        <v>5.9707843253687631</v>
      </c>
      <c r="E21">
        <v>2.3611570636251061E-9</v>
      </c>
      <c r="F21">
        <v>0.31659688832180521</v>
      </c>
      <c r="G21">
        <v>0.62601912417292649</v>
      </c>
    </row>
    <row r="22" spans="1:8" x14ac:dyDescent="0.35">
      <c r="A22" s="1" t="s">
        <v>26</v>
      </c>
      <c r="B22">
        <v>0.43717892584990281</v>
      </c>
      <c r="C22">
        <v>5.62653848436067E-2</v>
      </c>
      <c r="D22">
        <v>7.7699446482961081</v>
      </c>
      <c r="E22">
        <v>7.8520431193347101E-15</v>
      </c>
      <c r="F22">
        <v>0.32690079798014787</v>
      </c>
      <c r="G22">
        <v>0.5474570537196578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S14" sqref="S14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35">
      <c r="A2" s="1" t="s">
        <v>6</v>
      </c>
      <c r="B2">
        <v>-0.32073290307062052</v>
      </c>
      <c r="C2">
        <v>0.16236709820938991</v>
      </c>
      <c r="D2">
        <v>-1.9753565014569689</v>
      </c>
      <c r="E2">
        <v>4.8227705460265793E-2</v>
      </c>
      <c r="F2">
        <v>-0.63896656783530259</v>
      </c>
      <c r="G2">
        <v>-2.499238305938456E-3</v>
      </c>
    </row>
    <row r="3" spans="1:8" x14ac:dyDescent="0.35">
      <c r="A3" s="1" t="s">
        <v>7</v>
      </c>
      <c r="B3">
        <v>-6.6467194546204755E-4</v>
      </c>
      <c r="C3">
        <v>1.6285906590299099E-3</v>
      </c>
      <c r="D3">
        <v>-0.40812707709988189</v>
      </c>
      <c r="E3">
        <v>0.68318038193653396</v>
      </c>
      <c r="F3">
        <v>-3.856650982719023E-3</v>
      </c>
      <c r="G3">
        <v>2.5273070917949279E-3</v>
      </c>
      <c r="H3">
        <f>VALUE(_xlfn.TEXTAFTER(A3,"_"))</f>
        <v>-6</v>
      </c>
    </row>
    <row r="4" spans="1:8" x14ac:dyDescent="0.35">
      <c r="A4" s="1" t="s">
        <v>8</v>
      </c>
      <c r="B4">
        <v>-1.2490951160403221E-3</v>
      </c>
      <c r="C4">
        <v>1.5039896834536991E-3</v>
      </c>
      <c r="D4">
        <v>-0.83052106658866998</v>
      </c>
      <c r="E4">
        <v>0.40624424206770682</v>
      </c>
      <c r="F4">
        <v>-4.1968607287293678E-3</v>
      </c>
      <c r="G4">
        <v>1.6986704966487241E-3</v>
      </c>
      <c r="H4">
        <f t="shared" ref="H4:H20" si="0">VALUE(_xlfn.TEXTAFTER(A4,"_"))</f>
        <v>-5</v>
      </c>
    </row>
    <row r="5" spans="1:8" x14ac:dyDescent="0.35">
      <c r="A5" s="1" t="s">
        <v>9</v>
      </c>
      <c r="B5">
        <v>-4.7762413838037249E-4</v>
      </c>
      <c r="C5">
        <v>1.094534293980148E-3</v>
      </c>
      <c r="D5">
        <v>-0.43637201776798368</v>
      </c>
      <c r="E5">
        <v>0.66256683776955017</v>
      </c>
      <c r="F5">
        <v>-2.6228719344254382E-3</v>
      </c>
      <c r="G5">
        <v>1.6676236576646929E-3</v>
      </c>
      <c r="H5">
        <f t="shared" si="0"/>
        <v>-4</v>
      </c>
    </row>
    <row r="6" spans="1:8" x14ac:dyDescent="0.35">
      <c r="A6" s="1" t="s">
        <v>10</v>
      </c>
      <c r="B6">
        <v>-2.4016135764381999E-4</v>
      </c>
      <c r="C6">
        <v>1.218314563087991E-3</v>
      </c>
      <c r="D6">
        <v>-0.19712590239018149</v>
      </c>
      <c r="E6">
        <v>0.84372901393054178</v>
      </c>
      <c r="F6">
        <v>-2.6280140231369339E-3</v>
      </c>
      <c r="G6">
        <v>2.147691307849294E-3</v>
      </c>
      <c r="H6">
        <f t="shared" si="0"/>
        <v>-3</v>
      </c>
    </row>
    <row r="7" spans="1:8" x14ac:dyDescent="0.35">
      <c r="A7" s="1" t="s">
        <v>11</v>
      </c>
      <c r="B7">
        <v>3.7712562704494967E-4</v>
      </c>
      <c r="C7">
        <v>8.5963494353444368E-4</v>
      </c>
      <c r="D7">
        <v>0.43870439409358308</v>
      </c>
      <c r="E7">
        <v>0.66087574276071148</v>
      </c>
      <c r="F7">
        <v>-1.307727902134683E-3</v>
      </c>
      <c r="G7">
        <v>2.0619791562245821E-3</v>
      </c>
      <c r="H7">
        <f t="shared" si="0"/>
        <v>-2</v>
      </c>
    </row>
    <row r="8" spans="1:8" x14ac:dyDescent="0.35">
      <c r="A8" s="1" t="s">
        <v>12</v>
      </c>
      <c r="B8">
        <v>2.0498170654353891E-3</v>
      </c>
      <c r="C8">
        <v>1.284785809605112E-3</v>
      </c>
      <c r="D8">
        <v>1.5954543162843731</v>
      </c>
      <c r="E8">
        <v>0.1106106780520619</v>
      </c>
      <c r="F8">
        <v>-4.6831684923876642E-4</v>
      </c>
      <c r="G8">
        <v>4.5679509801095433E-3</v>
      </c>
      <c r="H8">
        <f t="shared" si="0"/>
        <v>0</v>
      </c>
    </row>
    <row r="9" spans="1:8" x14ac:dyDescent="0.35">
      <c r="A9" s="1" t="s">
        <v>13</v>
      </c>
      <c r="B9">
        <v>8.9783131402898508E-4</v>
      </c>
      <c r="C9">
        <v>1.4263332393144429E-3</v>
      </c>
      <c r="D9">
        <v>0.62946812798145346</v>
      </c>
      <c r="E9">
        <v>0.52904262827651838</v>
      </c>
      <c r="F9">
        <v>-1.8977304649796739E-3</v>
      </c>
      <c r="G9">
        <v>3.6933930930376441E-3</v>
      </c>
      <c r="H9">
        <f t="shared" si="0"/>
        <v>1</v>
      </c>
    </row>
    <row r="10" spans="1:8" x14ac:dyDescent="0.35">
      <c r="A10" s="1" t="s">
        <v>14</v>
      </c>
      <c r="B10">
        <v>2.4209686921521372E-3</v>
      </c>
      <c r="C10">
        <v>2.0471947617424452E-3</v>
      </c>
      <c r="D10">
        <v>1.182578588708169</v>
      </c>
      <c r="E10">
        <v>0.23697620234712771</v>
      </c>
      <c r="F10">
        <v>-1.591459310202112E-3</v>
      </c>
      <c r="G10">
        <v>6.4333966945063856E-3</v>
      </c>
      <c r="H10">
        <f t="shared" si="0"/>
        <v>2</v>
      </c>
    </row>
    <row r="11" spans="1:8" x14ac:dyDescent="0.35">
      <c r="A11" s="1" t="s">
        <v>15</v>
      </c>
      <c r="B11">
        <v>1.15905030651775E-3</v>
      </c>
      <c r="C11">
        <v>9.4891782924115108E-4</v>
      </c>
      <c r="D11">
        <v>1.221444334589689</v>
      </c>
      <c r="E11">
        <v>0.2219178297194809</v>
      </c>
      <c r="F11">
        <v>-7.0079446308283469E-4</v>
      </c>
      <c r="G11">
        <v>3.0188950761183349E-3</v>
      </c>
      <c r="H11">
        <f t="shared" si="0"/>
        <v>3</v>
      </c>
    </row>
    <row r="12" spans="1:8" x14ac:dyDescent="0.35">
      <c r="A12" s="1" t="s">
        <v>16</v>
      </c>
      <c r="B12">
        <v>1.12552168668234E-4</v>
      </c>
      <c r="C12">
        <v>6.3408478703372143E-4</v>
      </c>
      <c r="D12">
        <v>0.1775033417766706</v>
      </c>
      <c r="E12">
        <v>0.85911304055587545</v>
      </c>
      <c r="F12">
        <v>-1.13023117706261E-3</v>
      </c>
      <c r="G12">
        <v>1.3553355143990781E-3</v>
      </c>
      <c r="H12">
        <f t="shared" si="0"/>
        <v>4</v>
      </c>
    </row>
    <row r="13" spans="1:8" x14ac:dyDescent="0.35">
      <c r="A13" s="1" t="s">
        <v>17</v>
      </c>
      <c r="B13">
        <v>5.0106175847330903E-3</v>
      </c>
      <c r="C13">
        <v>3.106005073475904E-3</v>
      </c>
      <c r="D13">
        <v>1.613203284026111</v>
      </c>
      <c r="E13">
        <v>0.1067003502202966</v>
      </c>
      <c r="F13">
        <v>-1.077040495078367E-3</v>
      </c>
      <c r="G13">
        <v>1.1098275664544551E-2</v>
      </c>
      <c r="H13">
        <f t="shared" si="0"/>
        <v>5</v>
      </c>
    </row>
    <row r="14" spans="1:8" x14ac:dyDescent="0.35">
      <c r="A14" s="1" t="s">
        <v>18</v>
      </c>
      <c r="B14">
        <v>-3.03747332657478E-3</v>
      </c>
      <c r="C14">
        <v>2.3545216056857759E-3</v>
      </c>
      <c r="D14">
        <v>-1.290059653408909</v>
      </c>
      <c r="E14">
        <v>0.1970299469647516</v>
      </c>
      <c r="F14">
        <v>-7.6522508745403197E-3</v>
      </c>
      <c r="G14">
        <v>1.57730422139076E-3</v>
      </c>
      <c r="H14">
        <f t="shared" si="0"/>
        <v>6</v>
      </c>
    </row>
    <row r="15" spans="1:8" x14ac:dyDescent="0.35">
      <c r="A15" s="1" t="s">
        <v>19</v>
      </c>
      <c r="B15">
        <v>-2.1460767677705661E-3</v>
      </c>
      <c r="C15">
        <v>1.899127385800308E-3</v>
      </c>
      <c r="D15">
        <v>-1.130033079306153</v>
      </c>
      <c r="E15">
        <v>0.2584622860768101</v>
      </c>
      <c r="F15">
        <v>-5.8682980459928737E-3</v>
      </c>
      <c r="G15">
        <v>1.576144510451741E-3</v>
      </c>
      <c r="H15">
        <f t="shared" si="0"/>
        <v>7</v>
      </c>
    </row>
    <row r="16" spans="1:8" x14ac:dyDescent="0.35">
      <c r="A16" s="1" t="s">
        <v>20</v>
      </c>
      <c r="B16">
        <v>7.2716604597844459E-4</v>
      </c>
      <c r="C16">
        <v>8.4128142459506563E-4</v>
      </c>
      <c r="D16">
        <v>0.86435528554365948</v>
      </c>
      <c r="E16">
        <v>0.38739274826772241</v>
      </c>
      <c r="F16">
        <v>-9.2171524709043322E-4</v>
      </c>
      <c r="G16">
        <v>2.376047339047322E-3</v>
      </c>
      <c r="H16">
        <f t="shared" si="0"/>
        <v>8</v>
      </c>
    </row>
    <row r="17" spans="1:8" x14ac:dyDescent="0.35">
      <c r="A17" s="1" t="s">
        <v>21</v>
      </c>
      <c r="B17">
        <v>6.1735910943538919E-4</v>
      </c>
      <c r="C17">
        <v>7.5430221832029391E-4</v>
      </c>
      <c r="D17">
        <v>0.81845060831207106</v>
      </c>
      <c r="E17">
        <v>0.41309993407999718</v>
      </c>
      <c r="F17">
        <v>-8.6104607193105581E-4</v>
      </c>
      <c r="G17">
        <v>2.095764290801834E-3</v>
      </c>
      <c r="H17">
        <f t="shared" si="0"/>
        <v>9</v>
      </c>
    </row>
    <row r="18" spans="1:8" x14ac:dyDescent="0.35">
      <c r="A18" s="1" t="s">
        <v>22</v>
      </c>
      <c r="B18">
        <v>8.121578998780965E-4</v>
      </c>
      <c r="C18">
        <v>9.8645397937402153E-4</v>
      </c>
      <c r="D18">
        <v>0.82331048063029877</v>
      </c>
      <c r="E18">
        <v>0.41033145511897412</v>
      </c>
      <c r="F18">
        <v>-1.1212563721012031E-3</v>
      </c>
      <c r="G18">
        <v>2.7455721718573959E-3</v>
      </c>
      <c r="H18">
        <f t="shared" si="0"/>
        <v>10</v>
      </c>
    </row>
    <row r="19" spans="1:8" x14ac:dyDescent="0.35">
      <c r="A19" s="1" t="s">
        <v>23</v>
      </c>
      <c r="B19">
        <v>3.9026510206263692E-4</v>
      </c>
      <c r="C19">
        <v>7.559552259723553E-4</v>
      </c>
      <c r="D19">
        <v>0.51625425508588063</v>
      </c>
      <c r="E19">
        <v>0.60567684131776067</v>
      </c>
      <c r="F19">
        <v>-1.091379914768018E-3</v>
      </c>
      <c r="G19">
        <v>1.8719101188932909E-3</v>
      </c>
      <c r="H19">
        <f t="shared" si="0"/>
        <v>11</v>
      </c>
    </row>
    <row r="20" spans="1:8" x14ac:dyDescent="0.35">
      <c r="A20" s="1" t="s">
        <v>24</v>
      </c>
      <c r="B20">
        <v>9.6386200479270379E-4</v>
      </c>
      <c r="C20">
        <v>9.9366968146077646E-4</v>
      </c>
      <c r="D20">
        <v>0.97000242915306334</v>
      </c>
      <c r="E20">
        <v>0.3320452813042547</v>
      </c>
      <c r="F20">
        <v>-9.8369478339980598E-4</v>
      </c>
      <c r="G20">
        <v>2.9114187929852142E-3</v>
      </c>
      <c r="H20">
        <f t="shared" si="0"/>
        <v>12</v>
      </c>
    </row>
    <row r="21" spans="1:8" x14ac:dyDescent="0.35">
      <c r="A21" s="1" t="s">
        <v>25</v>
      </c>
      <c r="B21">
        <v>0.47807043465311949</v>
      </c>
      <c r="C21">
        <v>7.3171531361872141E-2</v>
      </c>
      <c r="D21">
        <v>6.5335578708720323</v>
      </c>
      <c r="E21">
        <v>6.4225360485641477E-11</v>
      </c>
      <c r="F21">
        <v>0.33465686849020698</v>
      </c>
      <c r="G21">
        <v>0.62148400081603195</v>
      </c>
    </row>
    <row r="22" spans="1:8" x14ac:dyDescent="0.35">
      <c r="A22" s="1" t="s">
        <v>26</v>
      </c>
      <c r="B22">
        <v>0.45091844266105602</v>
      </c>
      <c r="C22">
        <v>5.6614173726563473E-2</v>
      </c>
      <c r="D22">
        <v>7.9647624080660959</v>
      </c>
      <c r="E22">
        <v>1.6554153509630759E-15</v>
      </c>
      <c r="F22">
        <v>0.33995670114249782</v>
      </c>
      <c r="G22">
        <v>0.56188018417961416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tabSelected="1" workbookViewId="0">
      <selection activeCell="L31" sqref="L31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35">
      <c r="A2" s="1" t="s">
        <v>6</v>
      </c>
      <c r="B2">
        <v>-0.1072891975948238</v>
      </c>
      <c r="C2">
        <v>0.10345772593417921</v>
      </c>
      <c r="D2">
        <v>-1.0370341762884121</v>
      </c>
      <c r="E2">
        <v>0.29971992979588108</v>
      </c>
      <c r="F2">
        <v>-0.31006261434823063</v>
      </c>
      <c r="G2">
        <v>9.5484219158583017E-2</v>
      </c>
    </row>
    <row r="3" spans="1:8" x14ac:dyDescent="0.35">
      <c r="A3" s="1" t="s">
        <v>7</v>
      </c>
      <c r="B3">
        <v>-2.660060089038629E-3</v>
      </c>
      <c r="C3">
        <v>5.1074541127421394E-3</v>
      </c>
      <c r="D3">
        <v>-0.52081918512048486</v>
      </c>
      <c r="E3">
        <v>0.60249273698605266</v>
      </c>
      <c r="F3">
        <v>-1.2670486202704201E-2</v>
      </c>
      <c r="G3">
        <v>7.3503660246269382E-3</v>
      </c>
      <c r="H3">
        <f>VALUE(_xlfn.TEXTAFTER(A3,"_"))</f>
        <v>-6</v>
      </c>
    </row>
    <row r="4" spans="1:8" x14ac:dyDescent="0.35">
      <c r="A4" s="1" t="s">
        <v>8</v>
      </c>
      <c r="B4">
        <v>-2.1648699559863038E-3</v>
      </c>
      <c r="C4">
        <v>5.2040215598247669E-3</v>
      </c>
      <c r="D4">
        <v>-0.41599942104375148</v>
      </c>
      <c r="E4">
        <v>0.67741042686570896</v>
      </c>
      <c r="F4">
        <v>-1.2364564788012801E-2</v>
      </c>
      <c r="G4">
        <v>8.034824876040193E-3</v>
      </c>
      <c r="H4">
        <f t="shared" ref="H4:H20" si="0">VALUE(_xlfn.TEXTAFTER(A4,"_"))</f>
        <v>-5</v>
      </c>
    </row>
    <row r="5" spans="1:8" x14ac:dyDescent="0.35">
      <c r="A5" s="1" t="s">
        <v>9</v>
      </c>
      <c r="B5">
        <v>1.5732690203073001E-3</v>
      </c>
      <c r="C5">
        <v>2.77377025172632E-3</v>
      </c>
      <c r="D5">
        <v>0.5671951450658681</v>
      </c>
      <c r="E5">
        <v>0.57058160615103137</v>
      </c>
      <c r="F5">
        <v>-3.8632207744648882E-3</v>
      </c>
      <c r="G5">
        <v>7.009758815079487E-3</v>
      </c>
      <c r="H5">
        <f t="shared" si="0"/>
        <v>-4</v>
      </c>
    </row>
    <row r="6" spans="1:8" x14ac:dyDescent="0.35">
      <c r="A6" s="1" t="s">
        <v>10</v>
      </c>
      <c r="B6">
        <v>2.4043445314900769E-3</v>
      </c>
      <c r="C6">
        <v>2.699366035579256E-3</v>
      </c>
      <c r="D6">
        <v>0.89070711411471448</v>
      </c>
      <c r="E6">
        <v>0.37308631723524932</v>
      </c>
      <c r="F6">
        <v>-2.8863156793359308E-3</v>
      </c>
      <c r="G6">
        <v>7.6950047423160854E-3</v>
      </c>
      <c r="H6">
        <f t="shared" si="0"/>
        <v>-3</v>
      </c>
    </row>
    <row r="7" spans="1:8" x14ac:dyDescent="0.35">
      <c r="A7" s="1" t="s">
        <v>11</v>
      </c>
      <c r="B7">
        <v>1.183600113667582E-3</v>
      </c>
      <c r="C7">
        <v>3.1051238133354602E-3</v>
      </c>
      <c r="D7">
        <v>0.38117646342616629</v>
      </c>
      <c r="E7">
        <v>0.70307231260146275</v>
      </c>
      <c r="F7">
        <v>-4.9023307280075933E-3</v>
      </c>
      <c r="G7">
        <v>7.2695309553427578E-3</v>
      </c>
      <c r="H7">
        <f t="shared" si="0"/>
        <v>-2</v>
      </c>
    </row>
    <row r="8" spans="1:8" x14ac:dyDescent="0.35">
      <c r="A8" s="1" t="s">
        <v>12</v>
      </c>
      <c r="B8">
        <v>5.5253983035732368E-3</v>
      </c>
      <c r="C8">
        <v>2.895361179306256E-3</v>
      </c>
      <c r="D8">
        <v>1.9083623635850331</v>
      </c>
      <c r="E8">
        <v>5.634439774824096E-2</v>
      </c>
      <c r="F8">
        <v>-1.4940533010244369E-4</v>
      </c>
      <c r="G8">
        <v>1.1200201937248921E-2</v>
      </c>
      <c r="H8">
        <f t="shared" si="0"/>
        <v>0</v>
      </c>
    </row>
    <row r="9" spans="1:8" x14ac:dyDescent="0.35">
      <c r="A9" s="1" t="s">
        <v>13</v>
      </c>
      <c r="B9">
        <v>7.051199213495063E-3</v>
      </c>
      <c r="C9">
        <v>4.8025630053868474E-3</v>
      </c>
      <c r="D9">
        <v>1.468215868399021</v>
      </c>
      <c r="E9">
        <v>0.14204559521428431</v>
      </c>
      <c r="F9">
        <v>-2.3616513105475991E-3</v>
      </c>
      <c r="G9">
        <v>1.646404973753773E-2</v>
      </c>
      <c r="H9">
        <f t="shared" si="0"/>
        <v>1</v>
      </c>
    </row>
    <row r="10" spans="1:8" x14ac:dyDescent="0.35">
      <c r="A10" s="1" t="s">
        <v>14</v>
      </c>
      <c r="B10">
        <v>2.523791446544799E-3</v>
      </c>
      <c r="C10">
        <v>1.14508025386679E-2</v>
      </c>
      <c r="D10">
        <v>0.22040301874233509</v>
      </c>
      <c r="E10">
        <v>0.8255572946000469</v>
      </c>
      <c r="F10">
        <v>-1.99193691233241E-2</v>
      </c>
      <c r="G10">
        <v>2.496695201641369E-2</v>
      </c>
      <c r="H10">
        <f t="shared" si="0"/>
        <v>2</v>
      </c>
    </row>
    <row r="11" spans="1:8" x14ac:dyDescent="0.35">
      <c r="A11" s="1" t="s">
        <v>15</v>
      </c>
      <c r="B11">
        <v>6.79649370623292E-3</v>
      </c>
      <c r="C11">
        <v>4.5165790131594889E-3</v>
      </c>
      <c r="D11">
        <v>1.504787957086698</v>
      </c>
      <c r="E11">
        <v>0.13237860092356771</v>
      </c>
      <c r="F11">
        <v>-2.055838492889137E-3</v>
      </c>
      <c r="G11">
        <v>1.564882590535498E-2</v>
      </c>
      <c r="H11">
        <f t="shared" si="0"/>
        <v>3</v>
      </c>
    </row>
    <row r="12" spans="1:8" x14ac:dyDescent="0.35">
      <c r="A12" s="1" t="s">
        <v>16</v>
      </c>
      <c r="B12">
        <v>1.0984230352873331E-2</v>
      </c>
      <c r="C12">
        <v>7.0213780346718366E-3</v>
      </c>
      <c r="D12">
        <v>1.5643980851953521</v>
      </c>
      <c r="E12">
        <v>0.11772411011669991</v>
      </c>
      <c r="F12">
        <v>-2.7774177169241012E-3</v>
      </c>
      <c r="G12">
        <v>2.4745878422670751E-2</v>
      </c>
      <c r="H12">
        <f t="shared" si="0"/>
        <v>4</v>
      </c>
    </row>
    <row r="13" spans="1:8" x14ac:dyDescent="0.35">
      <c r="A13" s="1" t="s">
        <v>17</v>
      </c>
      <c r="B13">
        <v>7.5361562133270388E-3</v>
      </c>
      <c r="C13">
        <v>7.6956606413873477E-3</v>
      </c>
      <c r="D13">
        <v>0.97927345870704163</v>
      </c>
      <c r="E13">
        <v>0.32744488090269058</v>
      </c>
      <c r="F13">
        <v>-7.5470614810345758E-3</v>
      </c>
      <c r="G13">
        <v>2.2619373907688652E-2</v>
      </c>
      <c r="H13">
        <f t="shared" si="0"/>
        <v>5</v>
      </c>
    </row>
    <row r="14" spans="1:8" x14ac:dyDescent="0.35">
      <c r="A14" s="1" t="s">
        <v>18</v>
      </c>
      <c r="B14">
        <v>-1.050845408833145E-2</v>
      </c>
      <c r="C14">
        <v>5.5134824650029893E-3</v>
      </c>
      <c r="D14">
        <v>-1.905955837355829</v>
      </c>
      <c r="E14">
        <v>5.6655935634010342E-2</v>
      </c>
      <c r="F14">
        <v>-2.1314681149130429E-2</v>
      </c>
      <c r="G14">
        <v>2.9777297246752488E-4</v>
      </c>
      <c r="H14">
        <f t="shared" si="0"/>
        <v>6</v>
      </c>
    </row>
    <row r="15" spans="1:8" x14ac:dyDescent="0.35">
      <c r="A15" s="1" t="s">
        <v>19</v>
      </c>
      <c r="B15">
        <v>-4.2857097858214899E-3</v>
      </c>
      <c r="C15">
        <v>7.0172316047701884E-3</v>
      </c>
      <c r="D15">
        <v>-0.61074082019868658</v>
      </c>
      <c r="E15">
        <v>0.54137117742682794</v>
      </c>
      <c r="F15">
        <v>-1.8039231002347261E-2</v>
      </c>
      <c r="G15">
        <v>9.4678114307042843E-3</v>
      </c>
      <c r="H15">
        <f t="shared" si="0"/>
        <v>7</v>
      </c>
    </row>
    <row r="16" spans="1:8" x14ac:dyDescent="0.35">
      <c r="A16" s="1" t="s">
        <v>20</v>
      </c>
      <c r="B16">
        <v>3.239802365641697E-3</v>
      </c>
      <c r="C16">
        <v>2.7327803148103828E-3</v>
      </c>
      <c r="D16">
        <v>1.1855334100891659</v>
      </c>
      <c r="E16">
        <v>0.23580661301220149</v>
      </c>
      <c r="F16">
        <v>-2.1163486290466829E-3</v>
      </c>
      <c r="G16">
        <v>8.5959533603300782E-3</v>
      </c>
      <c r="H16">
        <f t="shared" si="0"/>
        <v>8</v>
      </c>
    </row>
    <row r="17" spans="1:8" x14ac:dyDescent="0.35">
      <c r="A17" s="1" t="s">
        <v>21</v>
      </c>
      <c r="B17">
        <v>3.4869758783451221E-3</v>
      </c>
      <c r="C17">
        <v>2.815705831415335E-3</v>
      </c>
      <c r="D17">
        <v>1.2384020516064951</v>
      </c>
      <c r="E17">
        <v>0.2155670203065809</v>
      </c>
      <c r="F17">
        <v>-2.0317061422883442E-3</v>
      </c>
      <c r="G17">
        <v>9.005657898978588E-3</v>
      </c>
      <c r="H17">
        <f t="shared" si="0"/>
        <v>9</v>
      </c>
    </row>
    <row r="18" spans="1:8" x14ac:dyDescent="0.35">
      <c r="A18" s="1" t="s">
        <v>22</v>
      </c>
      <c r="B18">
        <v>3.2487335470479111E-3</v>
      </c>
      <c r="C18">
        <v>2.3828650503677348E-3</v>
      </c>
      <c r="D18">
        <v>1.363372863497474</v>
      </c>
      <c r="E18">
        <v>0.17276502892997361</v>
      </c>
      <c r="F18">
        <v>-1.4215961316920711E-3</v>
      </c>
      <c r="G18">
        <v>7.9190632257878923E-3</v>
      </c>
      <c r="H18">
        <f t="shared" si="0"/>
        <v>10</v>
      </c>
    </row>
    <row r="19" spans="1:8" x14ac:dyDescent="0.35">
      <c r="A19" s="1" t="s">
        <v>23</v>
      </c>
      <c r="B19">
        <v>5.0830946164587276E-3</v>
      </c>
      <c r="C19">
        <v>2.964883658400661E-3</v>
      </c>
      <c r="D19">
        <v>1.7144330780252901</v>
      </c>
      <c r="E19">
        <v>8.6449217886847646E-2</v>
      </c>
      <c r="F19">
        <v>-7.2797057235792374E-4</v>
      </c>
      <c r="G19">
        <v>1.089415980527538E-2</v>
      </c>
      <c r="H19">
        <f t="shared" si="0"/>
        <v>11</v>
      </c>
    </row>
    <row r="20" spans="1:8" x14ac:dyDescent="0.35">
      <c r="A20" s="1" t="s">
        <v>24</v>
      </c>
      <c r="B20">
        <v>4.4992561106870221E-3</v>
      </c>
      <c r="C20">
        <v>2.897106926944424E-3</v>
      </c>
      <c r="D20">
        <v>1.5530169317679909</v>
      </c>
      <c r="E20">
        <v>0.12041908960560881</v>
      </c>
      <c r="F20">
        <v>-1.178969125485562E-3</v>
      </c>
      <c r="G20">
        <v>1.0177481346859611E-2</v>
      </c>
      <c r="H20">
        <f t="shared" si="0"/>
        <v>12</v>
      </c>
    </row>
    <row r="21" spans="1:8" x14ac:dyDescent="0.35">
      <c r="A21" s="1" t="s">
        <v>25</v>
      </c>
      <c r="B21">
        <v>0.46687358440533799</v>
      </c>
      <c r="C21">
        <v>5.6686388852239943E-2</v>
      </c>
      <c r="D21">
        <v>8.2360791339575634</v>
      </c>
      <c r="E21">
        <v>1.7794625626327009E-16</v>
      </c>
      <c r="F21">
        <v>0.35577030384131492</v>
      </c>
      <c r="G21">
        <v>0.57797686496936107</v>
      </c>
    </row>
    <row r="22" spans="1:8" x14ac:dyDescent="0.35">
      <c r="A22" s="1" t="s">
        <v>26</v>
      </c>
      <c r="B22">
        <v>0.50872055476945732</v>
      </c>
      <c r="C22">
        <v>5.2477456691653497E-2</v>
      </c>
      <c r="D22">
        <v>9.6940779306168032</v>
      </c>
      <c r="E22">
        <v>3.195105786388055E-22</v>
      </c>
      <c r="F22">
        <v>0.40586662965355602</v>
      </c>
      <c r="G22">
        <v>0.61157447988535862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2026-02-28T22:00:46Z</dcterms:created>
  <dcterms:modified xsi:type="dcterms:W3CDTF">2026-03-02T06:30:05Z</dcterms:modified>
</cp:coreProperties>
</file>