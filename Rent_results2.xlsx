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Senior Thesis Excel Files\"/>
    </mc:Choice>
  </mc:AlternateContent>
  <xr:revisionPtr revIDLastSave="0" documentId="13_ncr:1_{7228AE30-F332-41B0-9254-DC2255461D96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Comprehensive Housing Index" sheetId="1" r:id="rId1"/>
    <sheet name="Apartment" sheetId="2" r:id="rId2"/>
    <sheet name="Low-Rise Multi-Unit Housing" sheetId="3" r:id="rId3"/>
    <sheet name="Single-Family Ho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4" l="1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<sst xmlns="http://schemas.openxmlformats.org/spreadsheetml/2006/main" count="108" uniqueCount="27">
  <si>
    <t>Coef.</t>
  </si>
  <si>
    <t>Std.Err.</t>
  </si>
  <si>
    <t>z</t>
  </si>
  <si>
    <t>P&gt;|z|</t>
  </si>
  <si>
    <t>[0.025</t>
  </si>
  <si>
    <t>0.975]</t>
  </si>
  <si>
    <t>const</t>
  </si>
  <si>
    <t>event_-6</t>
  </si>
  <si>
    <t>event_-5</t>
  </si>
  <si>
    <t>event_-4</t>
  </si>
  <si>
    <t>event_-3</t>
  </si>
  <si>
    <t>event_-2</t>
  </si>
  <si>
    <t>event_0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</si>
  <si>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</si>
  <si>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</si>
  <si>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</si>
  <si>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</si>
  <si>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</si>
  <si>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</si>
  <si>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</si>
  <si>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</si>
  <si>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</si>
  <si>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</si>
  <si>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</si>
  <si>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</si>
  <si>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ratio_lag1</t>
  </si>
  <si>
    <t>ratio_lag2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</si>
</sst>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OLS Point Estimate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'Comprehensive Housing Index'!$H$3:$H$20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'Comprehensive Housing Index'!$B$3:$B$20</c:f>
              <c:numCache>
                <c:formatCode>General</c:formatCode>
                <c:ptCount val="18"/>
                <c:pt idx="0">
                  <c:v>-6.7429482514378414E-3</c:v>
                </c:pt>
                <c:pt idx="1">
                  <c:v>-5.8665128114432363E-3</c:v>
                </c:pt>
                <c:pt idx="2">
                  <c:v>-2.3746250280142212E-3</c:v>
                </c:pt>
                <c:pt idx="3">
                  <c:v>-1.7660129136919389E-3</c:v>
                </c:pt>
                <c:pt idx="4">
                  <c:v>-1.486363790362821E-4</c:v>
                </c:pt>
                <c:pt idx="5">
                  <c:v>6.6048719424218749E-3</c:v>
                </c:pt>
                <c:pt idx="6">
                  <c:v>2.9851858512002232E-3</c:v>
                </c:pt>
                <c:pt idx="7">
                  <c:v>1.689208907638573E-3</c:v>
                </c:pt>
                <c:pt idx="8">
                  <c:v>3.7008142169037139E-4</c:v>
                </c:pt>
                <c:pt idx="9">
                  <c:v>6.497816116945998E-5</c:v>
                </c:pt>
                <c:pt idx="10">
                  <c:v>1.150055808032047E-2</c:v>
                </c:pt>
                <c:pt idx="11">
                  <c:v>-9.2200683926232374E-3</c:v>
                </c:pt>
                <c:pt idx="12">
                  <c:v>-4.0885997497740467E-3</c:v>
                </c:pt>
                <c:pt idx="13">
                  <c:v>1.8530490383921181E-3</c:v>
                </c:pt>
                <c:pt idx="14">
                  <c:v>-1.078112827058719E-4</c:v>
                </c:pt>
                <c:pt idx="15">
                  <c:v>-6.7674683905227795E-4</c:v>
                </c:pt>
                <c:pt idx="16">
                  <c:v>1.1850003166613551E-5</c:v>
                </c:pt>
                <c:pt idx="17">
                  <c:v>1.5806878924129459E-3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38-4218-AF28-6A671F878CAD}"/>
            </c:ext>
          </c:extLst>
        </c:ser>
        <c:ser>
          <c:idx val="1"/>
          <c:order val="1"/>
          <c:tx>
            <c:v>95% CI -- lower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'Comprehensive Housing Index'!$H$3:$H$20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'Comprehensive Housing Index'!$F$3:$F$20</c:f>
              <c:numCache>
                <c:formatCode>General</c:formatCode>
                <c:ptCount val="18"/>
                <c:pt idx="0">
                  <c:v>-2.013869693678513E-2</c:v>
                </c:pt>
                <c:pt idx="1">
                  <c:v>-1.7825583829647221E-2</c:v>
                </c:pt>
                <c:pt idx="2">
                  <c:v>-7.8529259503778565E-3</c:v>
                </c:pt>
                <c:pt idx="3">
                  <c:v>-6.484975397825314E-3</c:v>
                </c:pt>
                <c:pt idx="4">
                  <c:v>-3.9482378493954518E-3</c:v>
                </c:pt>
                <c:pt idx="5">
                  <c:v>-2.184004386107918E-3</c:v>
                </c:pt>
                <c:pt idx="6">
                  <c:v>-5.928541475590474E-3</c:v>
                </c:pt>
                <c:pt idx="7">
                  <c:v>-1.2096257454580799E-2</c:v>
                </c:pt>
                <c:pt idx="8">
                  <c:v>-4.6633407418111266E-3</c:v>
                </c:pt>
                <c:pt idx="9">
                  <c:v>-4.1209209238855888E-3</c:v>
                </c:pt>
                <c:pt idx="10">
                  <c:v>-5.6647010124794136E-3</c:v>
                </c:pt>
                <c:pt idx="11">
                  <c:v>-2.015121696727537E-2</c:v>
                </c:pt>
                <c:pt idx="12">
                  <c:v>-1.6134130690725109E-2</c:v>
                </c:pt>
                <c:pt idx="13">
                  <c:v>-3.6441397843580488E-3</c:v>
                </c:pt>
                <c:pt idx="14">
                  <c:v>-5.2751156980179919E-3</c:v>
                </c:pt>
                <c:pt idx="15">
                  <c:v>-4.8516018092778744E-3</c:v>
                </c:pt>
                <c:pt idx="16">
                  <c:v>-5.0429745454496277E-3</c:v>
                </c:pt>
                <c:pt idx="17">
                  <c:v>-3.9146039160647449E-3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50-49F7-80FC-F6AFCA065DC7}"/>
            </c:ext>
          </c:extLst>
        </c:ser>
        <c:ser>
          <c:idx val="2"/>
          <c:order val="2"/>
          <c:tx>
            <c:v>95% CI -- upper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'Comprehensive Housing Index'!$H$3:$H$20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'Comprehensive Housing Index'!$G$3:$G$20</c:f>
              <c:numCache>
                <c:formatCode>General</c:formatCode>
                <c:ptCount val="18"/>
                <c:pt idx="0">
                  <c:v>6.6528004339094426E-3</c:v>
                </c:pt>
                <c:pt idx="1">
                  <c:v>6.0925582067607436E-3</c:v>
                </c:pt>
                <c:pt idx="2">
                  <c:v>3.1036758943494142E-3</c:v>
                </c:pt>
                <c:pt idx="3">
                  <c:v>2.9529495704414361E-3</c:v>
                </c:pt>
                <c:pt idx="4">
                  <c:v>3.6509650913228871E-3</c:v>
                </c:pt>
                <c:pt idx="5">
                  <c:v>1.539374827095167E-2</c:v>
                </c:pt>
                <c:pt idx="6">
                  <c:v>1.1898913177990919E-2</c:v>
                </c:pt>
                <c:pt idx="7">
                  <c:v>1.547467526985795E-2</c:v>
                </c:pt>
                <c:pt idx="8">
                  <c:v>5.4035035851918703E-3</c:v>
                </c:pt>
                <c:pt idx="9">
                  <c:v>4.2508772462245088E-3</c:v>
                </c:pt>
                <c:pt idx="10">
                  <c:v>2.8665817173120351E-2</c:v>
                </c:pt>
                <c:pt idx="11">
                  <c:v>1.711080182028897E-3</c:v>
                </c:pt>
                <c:pt idx="12">
                  <c:v>7.9569311911770191E-3</c:v>
                </c:pt>
                <c:pt idx="13">
                  <c:v>7.3502378611422859E-3</c:v>
                </c:pt>
                <c:pt idx="14">
                  <c:v>5.059493132606248E-3</c:v>
                </c:pt>
                <c:pt idx="15">
                  <c:v>3.4981081311733181E-3</c:v>
                </c:pt>
                <c:pt idx="16">
                  <c:v>5.0666745517828548E-3</c:v>
                </c:pt>
                <c:pt idx="17">
                  <c:v>7.0759797008906377E-3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0-49F7-80FC-F6AFCA065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2283519"/>
        <c:axId val="1582273919"/>
      </c:lineChart>
      <c:catAx>
        <c:axId val="1582283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273919"/>
        <c:crosses val="autoZero"/>
        <c:auto val="1"/>
        <c:lblAlgn val="ctr"/>
        <c:lblOffset val="100"/>
        <c:noMultiLvlLbl val="0"/>
      </c:catAx>
      <c:valAx>
        <c:axId val="158227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28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OLS Point Estimate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Apartment!$H$3:$H$20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Apartment!$B$3:$B$20</c:f>
              <c:numCache>
                <c:formatCode>General</c:formatCode>
                <c:ptCount val="18"/>
                <c:pt idx="0">
                  <c:v>-9.1170179028211562E-3</c:v>
                </c:pt>
                <c:pt idx="1">
                  <c:v>-8.9765308511723374E-3</c:v>
                </c:pt>
                <c:pt idx="2">
                  <c:v>-4.0702651694864977E-3</c:v>
                </c:pt>
                <c:pt idx="3">
                  <c:v>-3.289952748338099E-3</c:v>
                </c:pt>
                <c:pt idx="4">
                  <c:v>-6.9684607456621528E-4</c:v>
                </c:pt>
                <c:pt idx="5">
                  <c:v>8.1247789897185285E-3</c:v>
                </c:pt>
                <c:pt idx="6">
                  <c:v>1.5466862921607041E-3</c:v>
                </c:pt>
                <c:pt idx="7">
                  <c:v>2.185035161507809E-3</c:v>
                </c:pt>
                <c:pt idx="8">
                  <c:v>-1.099819799757817E-3</c:v>
                </c:pt>
                <c:pt idx="9">
                  <c:v>-2.718251148102091E-3</c:v>
                </c:pt>
                <c:pt idx="10">
                  <c:v>1.5996887390845371E-2</c:v>
                </c:pt>
                <c:pt idx="11">
                  <c:v>-1.173121434957314E-2</c:v>
                </c:pt>
                <c:pt idx="12">
                  <c:v>-5.970923800238559E-3</c:v>
                </c:pt>
                <c:pt idx="13">
                  <c:v>1.16256821663463E-3</c:v>
                </c:pt>
                <c:pt idx="14">
                  <c:v>-3.5632887483683101E-4</c:v>
                </c:pt>
                <c:pt idx="15">
                  <c:v>-1.6845203042914481E-3</c:v>
                </c:pt>
                <c:pt idx="16">
                  <c:v>-9.9935581948595864E-4</c:v>
                </c:pt>
                <c:pt idx="17">
                  <c:v>3.9134924124206721E-4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93-4C07-ACA2-0C100A085E28}"/>
            </c:ext>
          </c:extLst>
        </c:ser>
        <c:ser>
          <c:idx val="1"/>
          <c:order val="1"/>
          <c:tx>
            <c:v>95% CI -- lower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Apartment!$H$3:$H$20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Apartment!$F$3:$F$20</c:f>
              <c:numCache>
                <c:formatCode>General</c:formatCode>
                <c:ptCount val="18"/>
                <c:pt idx="0">
                  <c:v>-2.711507591763658E-2</c:v>
                </c:pt>
                <c:pt idx="1">
                  <c:v>-2.3899555156219571E-2</c:v>
                </c:pt>
                <c:pt idx="2">
                  <c:v>-1.1178598644323171E-2</c:v>
                </c:pt>
                <c:pt idx="3">
                  <c:v>-1.006893989907055E-2</c:v>
                </c:pt>
                <c:pt idx="4">
                  <c:v>-5.7606527447414454E-3</c:v>
                </c:pt>
                <c:pt idx="5">
                  <c:v>-3.5858545185219661E-3</c:v>
                </c:pt>
                <c:pt idx="6">
                  <c:v>-9.8961536259918031E-3</c:v>
                </c:pt>
                <c:pt idx="7">
                  <c:v>-1.2692707821982299E-2</c:v>
                </c:pt>
                <c:pt idx="8">
                  <c:v>-7.5509924711944258E-3</c:v>
                </c:pt>
                <c:pt idx="9">
                  <c:v>-7.6914098591656056E-3</c:v>
                </c:pt>
                <c:pt idx="10">
                  <c:v>-6.6279340402449344E-3</c:v>
                </c:pt>
                <c:pt idx="11">
                  <c:v>-2.6090106489960581E-2</c:v>
                </c:pt>
                <c:pt idx="12">
                  <c:v>-2.093460266168393E-2</c:v>
                </c:pt>
                <c:pt idx="13">
                  <c:v>-5.7449471594418948E-3</c:v>
                </c:pt>
                <c:pt idx="14">
                  <c:v>-6.8507256868723439E-3</c:v>
                </c:pt>
                <c:pt idx="15">
                  <c:v>-7.2609290579431288E-3</c:v>
                </c:pt>
                <c:pt idx="16">
                  <c:v>-7.5202354271991529E-3</c:v>
                </c:pt>
                <c:pt idx="17">
                  <c:v>-6.9734254945553889E-3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93-4C07-ACA2-0C100A085E28}"/>
            </c:ext>
          </c:extLst>
        </c:ser>
        <c:ser>
          <c:idx val="2"/>
          <c:order val="2"/>
          <c:tx>
            <c:v>95% CI -- upper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Apartment!$H$3:$H$20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Apartment!$G$3:$G$20</c:f>
              <c:numCache>
                <c:formatCode>General</c:formatCode>
                <c:ptCount val="18"/>
                <c:pt idx="0">
                  <c:v>8.8810401119942713E-3</c:v>
                </c:pt>
                <c:pt idx="1">
                  <c:v>5.9464934538748983E-3</c:v>
                </c:pt>
                <c:pt idx="2">
                  <c:v>3.0380683053501732E-3</c:v>
                </c:pt>
                <c:pt idx="3">
                  <c:v>3.4890344023943581E-3</c:v>
                </c:pt>
                <c:pt idx="4">
                  <c:v>4.3669605956090148E-3</c:v>
                </c:pt>
                <c:pt idx="5">
                  <c:v>1.9835412497959021E-2</c:v>
                </c:pt>
                <c:pt idx="6">
                  <c:v>1.2989526210313211E-2</c:v>
                </c:pt>
                <c:pt idx="7">
                  <c:v>1.7062778144997921E-2</c:v>
                </c:pt>
                <c:pt idx="8">
                  <c:v>5.351352871678791E-3</c:v>
                </c:pt>
                <c:pt idx="9">
                  <c:v>2.254907562961424E-3</c:v>
                </c:pt>
                <c:pt idx="10">
                  <c:v>3.8621708821935677E-2</c:v>
                </c:pt>
                <c:pt idx="11">
                  <c:v>2.6276777908143048E-3</c:v>
                </c:pt>
                <c:pt idx="12">
                  <c:v>8.9927550612068086E-3</c:v>
                </c:pt>
                <c:pt idx="13">
                  <c:v>8.0700835927111532E-3</c:v>
                </c:pt>
                <c:pt idx="14">
                  <c:v>6.138067937198682E-3</c:v>
                </c:pt>
                <c:pt idx="15">
                  <c:v>3.8918884493602331E-3</c:v>
                </c:pt>
                <c:pt idx="16">
                  <c:v>5.5215237882272356E-3</c:v>
                </c:pt>
                <c:pt idx="17">
                  <c:v>7.7561239770395233E-3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93-4C07-ACA2-0C100A085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5108576"/>
        <c:axId val="1375107616"/>
      </c:lineChart>
      <c:catAx>
        <c:axId val="137510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107616"/>
        <c:crosses val="autoZero"/>
        <c:auto val="1"/>
        <c:lblAlgn val="ctr"/>
        <c:lblOffset val="100"/>
        <c:noMultiLvlLbl val="0"/>
      </c:catAx>
      <c:valAx>
        <c:axId val="137510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10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OLS Point Estimate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'Low-Rise Multi-Unit Housing'!$H$3:$H$20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'Low-Rise Multi-Unit Housing'!$B$3:$B$20</c:f>
              <c:numCache>
                <c:formatCode>General</c:formatCode>
                <c:ptCount val="18"/>
                <c:pt idx="0">
                  <c:v>-3.082798837089618E-3</c:v>
                </c:pt>
                <c:pt idx="1">
                  <c:v>-3.6515289647786049E-3</c:v>
                </c:pt>
                <c:pt idx="2">
                  <c:v>-1.3391548304326759E-3</c:v>
                </c:pt>
                <c:pt idx="3">
                  <c:v>-2.3986010301713101E-4</c:v>
                </c:pt>
                <c:pt idx="4">
                  <c:v>6.0151564711063976E-4</c:v>
                </c:pt>
                <c:pt idx="5">
                  <c:v>2.0357409147639949E-3</c:v>
                </c:pt>
                <c:pt idx="6">
                  <c:v>1.34273959331821E-3</c:v>
                </c:pt>
                <c:pt idx="7">
                  <c:v>8.6049922848552285E-4</c:v>
                </c:pt>
                <c:pt idx="8">
                  <c:v>1.766370818395258E-3</c:v>
                </c:pt>
                <c:pt idx="9">
                  <c:v>-5.829105212655783E-4</c:v>
                </c:pt>
                <c:pt idx="10">
                  <c:v>5.7866513651896323E-3</c:v>
                </c:pt>
                <c:pt idx="11">
                  <c:v>-4.3450294042408633E-3</c:v>
                </c:pt>
                <c:pt idx="12">
                  <c:v>-3.0847535734523919E-3</c:v>
                </c:pt>
                <c:pt idx="13">
                  <c:v>1.4442088425303809E-4</c:v>
                </c:pt>
                <c:pt idx="14">
                  <c:v>5.6447123184533154E-4</c:v>
                </c:pt>
                <c:pt idx="15">
                  <c:v>-5.6196850630141348E-4</c:v>
                </c:pt>
                <c:pt idx="16">
                  <c:v>8.6248035161273773E-4</c:v>
                </c:pt>
                <c:pt idx="17">
                  <c:v>1.8192337901273841E-3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7E-446B-9FAA-A911280FBE53}"/>
            </c:ext>
          </c:extLst>
        </c:ser>
        <c:ser>
          <c:idx val="1"/>
          <c:order val="1"/>
          <c:tx>
            <c:v>95% CI -- lower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'Low-Rise Multi-Unit Housing'!$H$3:$H$20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'Low-Rise Multi-Unit Housing'!$F$3:$F$20</c:f>
              <c:numCache>
                <c:formatCode>General</c:formatCode>
                <c:ptCount val="18"/>
                <c:pt idx="0">
                  <c:v>-9.3586719119517318E-3</c:v>
                </c:pt>
                <c:pt idx="1">
                  <c:v>-8.6495672582500484E-3</c:v>
                </c:pt>
                <c:pt idx="2">
                  <c:v>-3.665995712554652E-3</c:v>
                </c:pt>
                <c:pt idx="3">
                  <c:v>-2.4253659382292379E-3</c:v>
                </c:pt>
                <c:pt idx="4">
                  <c:v>-1.293715300628055E-3</c:v>
                </c:pt>
                <c:pt idx="5">
                  <c:v>-1.1562260726333869E-3</c:v>
                </c:pt>
                <c:pt idx="6">
                  <c:v>-2.345687206470601E-3</c:v>
                </c:pt>
                <c:pt idx="7">
                  <c:v>-4.7390462289432379E-3</c:v>
                </c:pt>
                <c:pt idx="8">
                  <c:v>-4.1684815245660468E-4</c:v>
                </c:pt>
                <c:pt idx="9">
                  <c:v>-2.4808916275904881E-3</c:v>
                </c:pt>
                <c:pt idx="10">
                  <c:v>-1.6346379542986731E-3</c:v>
                </c:pt>
                <c:pt idx="11">
                  <c:v>-9.816988236787309E-3</c:v>
                </c:pt>
                <c:pt idx="12">
                  <c:v>-8.0320477198936174E-3</c:v>
                </c:pt>
                <c:pt idx="13">
                  <c:v>-1.8954969774746769E-3</c:v>
                </c:pt>
                <c:pt idx="14">
                  <c:v>-1.6172023186145101E-3</c:v>
                </c:pt>
                <c:pt idx="15">
                  <c:v>-3.196355466292833E-3</c:v>
                </c:pt>
                <c:pt idx="16">
                  <c:v>-1.9698131935190159E-3</c:v>
                </c:pt>
                <c:pt idx="17">
                  <c:v>-8.4133005688129779E-4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7E-446B-9FAA-A911280FBE53}"/>
            </c:ext>
          </c:extLst>
        </c:ser>
        <c:ser>
          <c:idx val="2"/>
          <c:order val="2"/>
          <c:tx>
            <c:v>95% CI -- upper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'Low-Rise Multi-Unit Housing'!$H$3:$H$20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'Low-Rise Multi-Unit Housing'!$G$3:$G$20</c:f>
              <c:numCache>
                <c:formatCode>General</c:formatCode>
                <c:ptCount val="18"/>
                <c:pt idx="0">
                  <c:v>3.1930742377724959E-3</c:v>
                </c:pt>
                <c:pt idx="1">
                  <c:v>1.346509328692838E-3</c:v>
                </c:pt>
                <c:pt idx="2">
                  <c:v>9.8768605168930018E-4</c:v>
                </c:pt>
                <c:pt idx="3">
                  <c:v>1.9456457321949761E-3</c:v>
                </c:pt>
                <c:pt idx="4">
                  <c:v>2.4967465948493349E-3</c:v>
                </c:pt>
                <c:pt idx="5">
                  <c:v>5.2277079021613767E-3</c:v>
                </c:pt>
                <c:pt idx="6">
                  <c:v>5.0311663931070201E-3</c:v>
                </c:pt>
                <c:pt idx="7">
                  <c:v>6.4600446859142844E-3</c:v>
                </c:pt>
                <c:pt idx="8">
                  <c:v>3.9495897892471198E-3</c:v>
                </c:pt>
                <c:pt idx="9">
                  <c:v>1.3150705850593311E-3</c:v>
                </c:pt>
                <c:pt idx="10">
                  <c:v>1.3207940684677941E-2</c:v>
                </c:pt>
                <c:pt idx="11">
                  <c:v>1.126929428305582E-3</c:v>
                </c:pt>
                <c:pt idx="12">
                  <c:v>1.8625405729888319E-3</c:v>
                </c:pt>
                <c:pt idx="13">
                  <c:v>2.1843387459807529E-3</c:v>
                </c:pt>
                <c:pt idx="14">
                  <c:v>2.7461447823051732E-3</c:v>
                </c:pt>
                <c:pt idx="15">
                  <c:v>2.0724184536900061E-3</c:v>
                </c:pt>
                <c:pt idx="16">
                  <c:v>3.6947738967444909E-3</c:v>
                </c:pt>
                <c:pt idx="17">
                  <c:v>4.479797637136065E-3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7E-446B-9FAA-A911280FB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5126336"/>
        <c:axId val="1375127776"/>
      </c:lineChart>
      <c:catAx>
        <c:axId val="137512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127776"/>
        <c:crosses val="autoZero"/>
        <c:auto val="1"/>
        <c:lblAlgn val="ctr"/>
        <c:lblOffset val="100"/>
        <c:noMultiLvlLbl val="0"/>
      </c:catAx>
      <c:valAx>
        <c:axId val="137512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12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OLS Point Estimate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'Single-Family House'!$H$3:$H$20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'Single-Family House'!$B$3:$B$20</c:f>
              <c:numCache>
                <c:formatCode>General</c:formatCode>
                <c:ptCount val="18"/>
                <c:pt idx="0">
                  <c:v>-3.3648564739588989E-3</c:v>
                </c:pt>
                <c:pt idx="1">
                  <c:v>-3.0641201014208752E-3</c:v>
                </c:pt>
                <c:pt idx="2">
                  <c:v>1.5204532091539491E-3</c:v>
                </c:pt>
                <c:pt idx="3">
                  <c:v>2.535798181795057E-3</c:v>
                </c:pt>
                <c:pt idx="4">
                  <c:v>1.495991917287443E-3</c:v>
                </c:pt>
                <c:pt idx="5">
                  <c:v>5.5253774977341852E-3</c:v>
                </c:pt>
                <c:pt idx="6">
                  <c:v>7.1536484695000624E-3</c:v>
                </c:pt>
                <c:pt idx="7">
                  <c:v>2.3248307727068429E-3</c:v>
                </c:pt>
                <c:pt idx="8">
                  <c:v>7.184015789733933E-3</c:v>
                </c:pt>
                <c:pt idx="9">
                  <c:v>1.0722705590594741E-2</c:v>
                </c:pt>
                <c:pt idx="10">
                  <c:v>7.6282306135162514E-3</c:v>
                </c:pt>
                <c:pt idx="11">
                  <c:v>-1.0548349411445669E-2</c:v>
                </c:pt>
                <c:pt idx="12">
                  <c:v>-4.4897094090466383E-3</c:v>
                </c:pt>
                <c:pt idx="13">
                  <c:v>3.0107293846839411E-3</c:v>
                </c:pt>
                <c:pt idx="14">
                  <c:v>3.2674315011775872E-3</c:v>
                </c:pt>
                <c:pt idx="15">
                  <c:v>3.9534336014954707E-3</c:v>
                </c:pt>
                <c:pt idx="16">
                  <c:v>5.570478221762265E-3</c:v>
                </c:pt>
                <c:pt idx="17">
                  <c:v>4.4997255230565516E-3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C7-4601-910F-44DFD61512B2}"/>
            </c:ext>
          </c:extLst>
        </c:ser>
        <c:ser>
          <c:idx val="1"/>
          <c:order val="1"/>
          <c:tx>
            <c:v>95% CI -- lower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'Single-Family House'!$H$3:$H$20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'Single-Family House'!$F$3:$F$20</c:f>
              <c:numCache>
                <c:formatCode>General</c:formatCode>
                <c:ptCount val="18"/>
                <c:pt idx="0">
                  <c:v>-1.52073033823521E-2</c:v>
                </c:pt>
                <c:pt idx="1">
                  <c:v>-1.4988922078423341E-2</c:v>
                </c:pt>
                <c:pt idx="2">
                  <c:v>-4.1209652450816918E-3</c:v>
                </c:pt>
                <c:pt idx="3">
                  <c:v>-3.365642229853884E-3</c:v>
                </c:pt>
                <c:pt idx="4">
                  <c:v>-4.8006201340977488E-3</c:v>
                </c:pt>
                <c:pt idx="5">
                  <c:v>-6.6145122787245308E-4</c:v>
                </c:pt>
                <c:pt idx="6">
                  <c:v>-2.5555299898426362E-3</c:v>
                </c:pt>
                <c:pt idx="7">
                  <c:v>-2.1604530357960269E-2</c:v>
                </c:pt>
                <c:pt idx="8">
                  <c:v>-1.8600825090302081E-3</c:v>
                </c:pt>
                <c:pt idx="9">
                  <c:v>-2.6122375195098569E-3</c:v>
                </c:pt>
                <c:pt idx="10">
                  <c:v>-7.6478993837099923E-3</c:v>
                </c:pt>
                <c:pt idx="11">
                  <c:v>-2.2133223288658271E-2</c:v>
                </c:pt>
                <c:pt idx="12">
                  <c:v>-1.8157442215028741E-2</c:v>
                </c:pt>
                <c:pt idx="13">
                  <c:v>-2.762881064491502E-3</c:v>
                </c:pt>
                <c:pt idx="14">
                  <c:v>-2.737855855356098E-3</c:v>
                </c:pt>
                <c:pt idx="15">
                  <c:v>-1.1019436213080039E-3</c:v>
                </c:pt>
                <c:pt idx="16">
                  <c:v>-7.184039431353019E-4</c:v>
                </c:pt>
                <c:pt idx="17">
                  <c:v>-1.634877708454466E-3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C7-4601-910F-44DFD61512B2}"/>
            </c:ext>
          </c:extLst>
        </c:ser>
        <c:ser>
          <c:idx val="2"/>
          <c:order val="2"/>
          <c:tx>
            <c:v>95% CI -- upper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'Single-Family House'!$H$3:$H$20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'Single-Family House'!$G$3:$G$20</c:f>
              <c:numCache>
                <c:formatCode>General</c:formatCode>
                <c:ptCount val="18"/>
                <c:pt idx="0">
                  <c:v>8.4775904344342994E-3</c:v>
                </c:pt>
                <c:pt idx="1">
                  <c:v>8.8606818755815851E-3</c:v>
                </c:pt>
                <c:pt idx="2">
                  <c:v>7.16187166338959E-3</c:v>
                </c:pt>
                <c:pt idx="3">
                  <c:v>8.4372385934439985E-3</c:v>
                </c:pt>
                <c:pt idx="4">
                  <c:v>7.7926039686726338E-3</c:v>
                </c:pt>
                <c:pt idx="5">
                  <c:v>1.1712206223340821E-2</c:v>
                </c:pt>
                <c:pt idx="6">
                  <c:v>1.6862826928842761E-2</c:v>
                </c:pt>
                <c:pt idx="7">
                  <c:v>2.6254191903373952E-2</c:v>
                </c:pt>
                <c:pt idx="8">
                  <c:v>1.6228114088498068E-2</c:v>
                </c:pt>
                <c:pt idx="9">
                  <c:v>2.4057648700699329E-2</c:v>
                </c:pt>
                <c:pt idx="10">
                  <c:v>2.29043606107425E-2</c:v>
                </c:pt>
                <c:pt idx="11">
                  <c:v>1.0365244657669389E-3</c:v>
                </c:pt>
                <c:pt idx="12">
                  <c:v>9.1780233969354658E-3</c:v>
                </c:pt>
                <c:pt idx="13">
                  <c:v>8.7843398338593847E-3</c:v>
                </c:pt>
                <c:pt idx="14">
                  <c:v>9.272718857711271E-3</c:v>
                </c:pt>
                <c:pt idx="15">
                  <c:v>9.0088108242989441E-3</c:v>
                </c:pt>
                <c:pt idx="16">
                  <c:v>1.185936038665983E-2</c:v>
                </c:pt>
                <c:pt idx="17">
                  <c:v>1.063432875456757E-2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C7-4601-910F-44DFD6151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5016416"/>
        <c:axId val="1375002016"/>
      </c:lineChart>
      <c:catAx>
        <c:axId val="137501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002016"/>
        <c:crosses val="autoZero"/>
        <c:auto val="1"/>
        <c:lblAlgn val="ctr"/>
        <c:lblOffset val="100"/>
        <c:noMultiLvlLbl val="0"/>
      </c:catAx>
      <c:valAx>
        <c:axId val="137500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016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130175</xdr:colOff>
      <xdr:row>10</xdr:row>
      <xdr:rowOff>95250</xdr:rowOff>
    </xdr:from>
    <xdr:to>
      <xdr:col>16</xdr:col>
      <xdr:colOff>434975</xdr:colOff>
      <xdr:row>25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FD7B9C-848C-C06E-F291-776FE21A7A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155575</xdr:colOff>
      <xdr:row>5</xdr:row>
      <xdr:rowOff>44450</xdr:rowOff>
    </xdr:from>
    <xdr:to>
      <xdr:col>16</xdr:col>
      <xdr:colOff>460375</xdr:colOff>
      <xdr:row>20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8A467F-EF3E-9365-CF16-694F11F45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301625</xdr:colOff>
      <xdr:row>6</xdr:row>
      <xdr:rowOff>88900</xdr:rowOff>
    </xdr:from>
    <xdr:to>
      <xdr:col>15</xdr:col>
      <xdr:colOff>606425</xdr:colOff>
      <xdr:row>21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F46859-DD3A-36D8-DDF9-C27DEDDA5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295275</xdr:colOff>
      <xdr:row>6</xdr:row>
      <xdr:rowOff>25400</xdr:rowOff>
    </xdr:from>
    <xdr:to>
      <xdr:col>16</xdr:col>
      <xdr:colOff>600075</xdr:colOff>
      <xdr:row>21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F0F9DD-3064-5D2B-F549-2A7F13E13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workbookViewId="0">
      <selection activeCell="H29" sqref="H29"/>
    </sheetView>
  </sheetViews>
  <sheetFormatPr defaultRowHeight="14.5" x14ac:dyDescent="0.35"/>
  <sheetData>
    <row r="1" spans="1:8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8" x14ac:dyDescent="0.35">
      <c r="A2" s="1" t="s">
        <v>6</v>
      </c>
      <c r="B2">
        <v>-0.34658773077645583</v>
      </c>
      <c r="C2">
        <v>0.16002467417886829</v>
      </c>
      <c r="D2">
        <v>-2.1658393154361661</v>
      </c>
      <c r="E2">
        <v>3.0323467871446921E-2</v>
      </c>
      <c r="F2">
        <v>-0.66023032880479449</v>
      </c>
      <c r="G2">
        <v>-3.2945132748117063E-2</v>
      </c>
    </row>
    <row r="3" spans="1:8" x14ac:dyDescent="0.35">
      <c r="A3" s="1" t="s">
        <v>7</v>
      </c>
      <c r="B3">
        <v>-6.7429482514378414E-3</v>
      </c>
      <c r="C3">
        <v>6.8346912448449268E-3</v>
      </c>
      <c r="D3">
        <v>-0.98657686351577578</v>
      </c>
      <c r="E3">
        <v>0.32385011709962241</v>
      </c>
      <c r="F3">
        <v>-2.013869693678513E-2</v>
      </c>
      <c r="G3">
        <v>6.6528004339094426E-3</v>
      </c>
      <c r="H3">
        <f>VALUE(_xlfn.TEXTAFTER(A3,"_"))</f>
        <v>-6</v>
      </c>
    </row>
    <row r="4" spans="1:8" x14ac:dyDescent="0.35">
      <c r="A4" s="1" t="s">
        <v>8</v>
      </c>
      <c r="B4">
        <v>-5.8665128114432363E-3</v>
      </c>
      <c r="C4">
        <v>6.1016789658052944E-3</v>
      </c>
      <c r="D4">
        <v>-0.9614587795129893</v>
      </c>
      <c r="E4">
        <v>0.33632154182348528</v>
      </c>
      <c r="F4">
        <v>-1.7825583829647221E-2</v>
      </c>
      <c r="G4">
        <v>6.0925582067607436E-3</v>
      </c>
      <c r="H4">
        <f t="shared" ref="H4:H20" si="0">VALUE(_xlfn.TEXTAFTER(A4,"_"))</f>
        <v>-5</v>
      </c>
    </row>
    <row r="5" spans="1:8" x14ac:dyDescent="0.35">
      <c r="A5" s="1" t="s">
        <v>9</v>
      </c>
      <c r="B5">
        <v>-2.3746250280142212E-3</v>
      </c>
      <c r="C5">
        <v>2.795102851672671E-3</v>
      </c>
      <c r="D5">
        <v>-0.84956624282830118</v>
      </c>
      <c r="E5">
        <v>0.39556628657556459</v>
      </c>
      <c r="F5">
        <v>-7.8529259503778565E-3</v>
      </c>
      <c r="G5">
        <v>3.1036758943494142E-3</v>
      </c>
      <c r="H5">
        <f t="shared" si="0"/>
        <v>-4</v>
      </c>
    </row>
    <row r="6" spans="1:8" x14ac:dyDescent="0.35">
      <c r="A6" s="1" t="s">
        <v>10</v>
      </c>
      <c r="B6">
        <v>-1.7660129136919389E-3</v>
      </c>
      <c r="C6">
        <v>2.407678162127442E-3</v>
      </c>
      <c r="D6">
        <v>-0.73349210100883144</v>
      </c>
      <c r="E6">
        <v>0.46325834379839992</v>
      </c>
      <c r="F6">
        <v>-6.484975397825314E-3</v>
      </c>
      <c r="G6">
        <v>2.9529495704414361E-3</v>
      </c>
      <c r="H6">
        <f t="shared" si="0"/>
        <v>-3</v>
      </c>
    </row>
    <row r="7" spans="1:8" x14ac:dyDescent="0.35">
      <c r="A7" s="1" t="s">
        <v>11</v>
      </c>
      <c r="B7">
        <v>-1.486363790362821E-4</v>
      </c>
      <c r="C7">
        <v>1.93860780112795E-3</v>
      </c>
      <c r="D7">
        <v>-7.6671712014054774E-2</v>
      </c>
      <c r="E7">
        <v>0.93888470882157427</v>
      </c>
      <c r="F7">
        <v>-3.9482378493954518E-3</v>
      </c>
      <c r="G7">
        <v>3.6509650913228871E-3</v>
      </c>
      <c r="H7">
        <f t="shared" si="0"/>
        <v>-2</v>
      </c>
    </row>
    <row r="8" spans="1:8" x14ac:dyDescent="0.35">
      <c r="A8" s="1" t="s">
        <v>12</v>
      </c>
      <c r="B8">
        <v>6.6048719424218749E-3</v>
      </c>
      <c r="C8">
        <v>4.4842029740624467E-3</v>
      </c>
      <c r="D8">
        <v>1.4729199326225451</v>
      </c>
      <c r="E8">
        <v>0.14077262667209969</v>
      </c>
      <c r="F8">
        <v>-2.184004386107918E-3</v>
      </c>
      <c r="G8">
        <v>1.539374827095167E-2</v>
      </c>
      <c r="H8">
        <f t="shared" si="0"/>
        <v>0</v>
      </c>
    </row>
    <row r="9" spans="1:8" x14ac:dyDescent="0.35">
      <c r="A9" s="1" t="s">
        <v>13</v>
      </c>
      <c r="B9">
        <v>2.9851858512002232E-3</v>
      </c>
      <c r="C9">
        <v>4.5479036334856362E-3</v>
      </c>
      <c r="D9">
        <v>0.65638722624214785</v>
      </c>
      <c r="E9">
        <v>0.51157500720060567</v>
      </c>
      <c r="F9">
        <v>-5.928541475590474E-3</v>
      </c>
      <c r="G9">
        <v>1.1898913177990919E-2</v>
      </c>
      <c r="H9">
        <f t="shared" si="0"/>
        <v>1</v>
      </c>
    </row>
    <row r="10" spans="1:8" x14ac:dyDescent="0.35">
      <c r="A10" s="1" t="s">
        <v>14</v>
      </c>
      <c r="B10">
        <v>1.689208907638573E-3</v>
      </c>
      <c r="C10">
        <v>7.0335304479864818E-3</v>
      </c>
      <c r="D10">
        <v>0.24016515178691661</v>
      </c>
      <c r="E10">
        <v>0.81020222798905273</v>
      </c>
      <c r="F10">
        <v>-1.2096257454580799E-2</v>
      </c>
      <c r="G10">
        <v>1.547467526985795E-2</v>
      </c>
      <c r="H10">
        <f t="shared" si="0"/>
        <v>2</v>
      </c>
    </row>
    <row r="11" spans="1:8" x14ac:dyDescent="0.35">
      <c r="A11" s="1" t="s">
        <v>15</v>
      </c>
      <c r="B11">
        <v>3.7008142169037139E-4</v>
      </c>
      <c r="C11">
        <v>2.5681197222012699E-3</v>
      </c>
      <c r="D11">
        <v>0.14410598481489609</v>
      </c>
      <c r="E11">
        <v>0.88541677885423142</v>
      </c>
      <c r="F11">
        <v>-4.6633407418111266E-3</v>
      </c>
      <c r="G11">
        <v>5.4035035851918703E-3</v>
      </c>
      <c r="H11">
        <f t="shared" si="0"/>
        <v>3</v>
      </c>
    </row>
    <row r="12" spans="1:8" x14ac:dyDescent="0.35">
      <c r="A12" s="1" t="s">
        <v>16</v>
      </c>
      <c r="B12">
        <v>6.497816116945998E-5</v>
      </c>
      <c r="C12">
        <v>2.1357020425236831E-3</v>
      </c>
      <c r="D12">
        <v>3.042473148205525E-2</v>
      </c>
      <c r="E12">
        <v>0.97572832111270169</v>
      </c>
      <c r="F12">
        <v>-4.1209209238855888E-3</v>
      </c>
      <c r="G12">
        <v>4.2508772462245088E-3</v>
      </c>
      <c r="H12">
        <f t="shared" si="0"/>
        <v>4</v>
      </c>
    </row>
    <row r="13" spans="1:8" x14ac:dyDescent="0.35">
      <c r="A13" s="1" t="s">
        <v>17</v>
      </c>
      <c r="B13">
        <v>1.150055808032047E-2</v>
      </c>
      <c r="C13">
        <v>8.7579461807447759E-3</v>
      </c>
      <c r="D13">
        <v>1.313156971163582</v>
      </c>
      <c r="E13">
        <v>0.18913005981683831</v>
      </c>
      <c r="F13">
        <v>-5.6647010124794136E-3</v>
      </c>
      <c r="G13">
        <v>2.8665817173120351E-2</v>
      </c>
      <c r="H13">
        <f t="shared" si="0"/>
        <v>5</v>
      </c>
    </row>
    <row r="14" spans="1:8" x14ac:dyDescent="0.35">
      <c r="A14" s="1" t="s">
        <v>18</v>
      </c>
      <c r="B14">
        <v>-9.2200683926232374E-3</v>
      </c>
      <c r="C14">
        <v>5.5772191024302696E-3</v>
      </c>
      <c r="D14">
        <v>-1.6531658920492469</v>
      </c>
      <c r="E14">
        <v>9.829710601123709E-2</v>
      </c>
      <c r="F14">
        <v>-2.015121696727537E-2</v>
      </c>
      <c r="G14">
        <v>1.711080182028897E-3</v>
      </c>
      <c r="H14">
        <f t="shared" si="0"/>
        <v>6</v>
      </c>
    </row>
    <row r="15" spans="1:8" x14ac:dyDescent="0.35">
      <c r="A15" s="1" t="s">
        <v>19</v>
      </c>
      <c r="B15">
        <v>-4.0885997497740467E-3</v>
      </c>
      <c r="C15">
        <v>6.145791981875523E-3</v>
      </c>
      <c r="D15">
        <v>-0.66526816427104662</v>
      </c>
      <c r="E15">
        <v>0.50587898905337614</v>
      </c>
      <c r="F15">
        <v>-1.6134130690725109E-2</v>
      </c>
      <c r="G15">
        <v>7.9569311911770191E-3</v>
      </c>
      <c r="H15">
        <f t="shared" si="0"/>
        <v>7</v>
      </c>
    </row>
    <row r="16" spans="1:8" x14ac:dyDescent="0.35">
      <c r="A16" s="1" t="s">
        <v>20</v>
      </c>
      <c r="B16">
        <v>1.8530490383921181E-3</v>
      </c>
      <c r="C16">
        <v>2.8047397126229321E-3</v>
      </c>
      <c r="D16">
        <v>0.6606848507376063</v>
      </c>
      <c r="E16">
        <v>0.50881444106121454</v>
      </c>
      <c r="F16">
        <v>-3.6441397843580488E-3</v>
      </c>
      <c r="G16">
        <v>7.3502378611422859E-3</v>
      </c>
      <c r="H16">
        <f t="shared" si="0"/>
        <v>8</v>
      </c>
    </row>
    <row r="17" spans="1:8" x14ac:dyDescent="0.35">
      <c r="A17" s="1" t="s">
        <v>21</v>
      </c>
      <c r="B17">
        <v>-1.078112827058719E-4</v>
      </c>
      <c r="C17">
        <v>2.636428248718424E-3</v>
      </c>
      <c r="D17">
        <v>-4.08929326099731E-2</v>
      </c>
      <c r="E17">
        <v>0.96738125169658973</v>
      </c>
      <c r="F17">
        <v>-5.2751156980179919E-3</v>
      </c>
      <c r="G17">
        <v>5.059493132606248E-3</v>
      </c>
      <c r="H17">
        <f t="shared" si="0"/>
        <v>9</v>
      </c>
    </row>
    <row r="18" spans="1:8" x14ac:dyDescent="0.35">
      <c r="A18" s="1" t="s">
        <v>22</v>
      </c>
      <c r="B18">
        <v>-6.7674683905227795E-4</v>
      </c>
      <c r="C18">
        <v>2.1300671865178739E-3</v>
      </c>
      <c r="D18">
        <v>-0.31771149911876218</v>
      </c>
      <c r="E18">
        <v>0.75070378780274849</v>
      </c>
      <c r="F18">
        <v>-4.8516018092778744E-3</v>
      </c>
      <c r="G18">
        <v>3.4981081311733181E-3</v>
      </c>
      <c r="H18">
        <f t="shared" si="0"/>
        <v>10</v>
      </c>
    </row>
    <row r="19" spans="1:8" x14ac:dyDescent="0.35">
      <c r="A19" s="1" t="s">
        <v>23</v>
      </c>
      <c r="B19">
        <v>1.1850003166613551E-5</v>
      </c>
      <c r="C19">
        <v>2.5790395070970961E-3</v>
      </c>
      <c r="D19">
        <v>4.5947350298451333E-3</v>
      </c>
      <c r="E19">
        <v>0.9963339447580869</v>
      </c>
      <c r="F19">
        <v>-5.0429745454496277E-3</v>
      </c>
      <c r="G19">
        <v>5.0666745517828548E-3</v>
      </c>
      <c r="H19">
        <f t="shared" si="0"/>
        <v>11</v>
      </c>
    </row>
    <row r="20" spans="1:8" x14ac:dyDescent="0.35">
      <c r="A20" s="1" t="s">
        <v>24</v>
      </c>
      <c r="B20">
        <v>1.5806878924129459E-3</v>
      </c>
      <c r="C20">
        <v>2.8037718304131359E-3</v>
      </c>
      <c r="D20">
        <v>0.56377194294730881</v>
      </c>
      <c r="E20">
        <v>0.57290934862116871</v>
      </c>
      <c r="F20">
        <v>-3.9146039160647449E-3</v>
      </c>
      <c r="G20">
        <v>7.0759797008906377E-3</v>
      </c>
      <c r="H20">
        <f t="shared" si="0"/>
        <v>12</v>
      </c>
    </row>
    <row r="21" spans="1:8" x14ac:dyDescent="0.35">
      <c r="A21" s="1" t="s">
        <v>25</v>
      </c>
      <c r="B21">
        <v>0.49257179679686303</v>
      </c>
      <c r="C21">
        <v>7.2366581866811899E-2</v>
      </c>
      <c r="D21">
        <v>6.8066196314677923</v>
      </c>
      <c r="E21">
        <v>9.9918646905501591E-12</v>
      </c>
      <c r="F21">
        <v>0.35073590265364241</v>
      </c>
      <c r="G21">
        <v>0.63440769094008376</v>
      </c>
    </row>
    <row r="22" spans="1:8" x14ac:dyDescent="0.35">
      <c r="A22" s="1" t="s">
        <v>26</v>
      </c>
      <c r="B22">
        <v>0.42919866172013948</v>
      </c>
      <c r="C22">
        <v>5.6286834914918399E-2</v>
      </c>
      <c r="D22">
        <v>7.6252051189039891</v>
      </c>
      <c r="E22">
        <v>2.4364665595291411E-14</v>
      </c>
      <c r="F22">
        <v>0.31887849248314781</v>
      </c>
      <c r="G22">
        <v>0.53951883095713127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workbookViewId="0">
      <selection activeCell="J22" sqref="J22"/>
    </sheetView>
  </sheetViews>
  <sheetFormatPr defaultRowHeight="14.5" x14ac:dyDescent="0.35"/>
  <sheetData>
    <row r="1" spans="1:8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8" x14ac:dyDescent="0.35">
      <c r="A2" s="1" t="s">
        <v>6</v>
      </c>
      <c r="B2">
        <v>-0.39866106511957972</v>
      </c>
      <c r="C2">
        <v>0.18233188819792909</v>
      </c>
      <c r="D2">
        <v>-2.1864582715603542</v>
      </c>
      <c r="E2">
        <v>2.878209439664103E-2</v>
      </c>
      <c r="F2">
        <v>-0.75602499922070443</v>
      </c>
      <c r="G2">
        <v>-4.1297131018454947E-2</v>
      </c>
    </row>
    <row r="3" spans="1:8" x14ac:dyDescent="0.35">
      <c r="A3" s="1" t="s">
        <v>7</v>
      </c>
      <c r="B3">
        <v>-9.1170179028211562E-3</v>
      </c>
      <c r="C3">
        <v>9.1828513976694535E-3</v>
      </c>
      <c r="D3">
        <v>-0.9928308221490979</v>
      </c>
      <c r="E3">
        <v>0.32079240667000741</v>
      </c>
      <c r="F3">
        <v>-2.711507591763658E-2</v>
      </c>
      <c r="G3">
        <v>8.8810401119942713E-3</v>
      </c>
      <c r="H3">
        <f>VALUE(_xlfn.TEXTAFTER(A3,"_"))</f>
        <v>-6</v>
      </c>
    </row>
    <row r="4" spans="1:8" x14ac:dyDescent="0.35">
      <c r="A4" s="1" t="s">
        <v>8</v>
      </c>
      <c r="B4">
        <v>-8.9765308511723374E-3</v>
      </c>
      <c r="C4">
        <v>7.6139278184487822E-3</v>
      </c>
      <c r="D4">
        <v>-1.178961905761954</v>
      </c>
      <c r="E4">
        <v>0.2384133451335374</v>
      </c>
      <c r="F4">
        <v>-2.3899555156219571E-2</v>
      </c>
      <c r="G4">
        <v>5.9464934538748983E-3</v>
      </c>
      <c r="H4">
        <f t="shared" ref="H4:H20" si="0">VALUE(_xlfn.TEXTAFTER(A4,"_"))</f>
        <v>-5</v>
      </c>
    </row>
    <row r="5" spans="1:8" x14ac:dyDescent="0.35">
      <c r="A5" s="1" t="s">
        <v>9</v>
      </c>
      <c r="B5">
        <v>-4.0702651694864977E-3</v>
      </c>
      <c r="C5">
        <v>3.6267673951696552E-3</v>
      </c>
      <c r="D5">
        <v>-1.122284592860165</v>
      </c>
      <c r="E5">
        <v>0.26174145490199208</v>
      </c>
      <c r="F5">
        <v>-1.1178598644323171E-2</v>
      </c>
      <c r="G5">
        <v>3.0380683053501732E-3</v>
      </c>
      <c r="H5">
        <f t="shared" si="0"/>
        <v>-4</v>
      </c>
    </row>
    <row r="6" spans="1:8" x14ac:dyDescent="0.35">
      <c r="A6" s="1" t="s">
        <v>10</v>
      </c>
      <c r="B6">
        <v>-3.289952748338099E-3</v>
      </c>
      <c r="C6">
        <v>3.4587304686230168E-3</v>
      </c>
      <c r="D6">
        <v>-0.95120240741045325</v>
      </c>
      <c r="E6">
        <v>0.34150163659553862</v>
      </c>
      <c r="F6">
        <v>-1.006893989907055E-2</v>
      </c>
      <c r="G6">
        <v>3.4890344023943581E-3</v>
      </c>
      <c r="H6">
        <f t="shared" si="0"/>
        <v>-3</v>
      </c>
    </row>
    <row r="7" spans="1:8" x14ac:dyDescent="0.35">
      <c r="A7" s="1" t="s">
        <v>11</v>
      </c>
      <c r="B7">
        <v>-6.9684607456621528E-4</v>
      </c>
      <c r="C7">
        <v>2.5836223063882249E-3</v>
      </c>
      <c r="D7">
        <v>-0.26971669691936179</v>
      </c>
      <c r="E7">
        <v>0.78737821417090548</v>
      </c>
      <c r="F7">
        <v>-5.7606527447414454E-3</v>
      </c>
      <c r="G7">
        <v>4.3669605956090148E-3</v>
      </c>
      <c r="H7">
        <f t="shared" si="0"/>
        <v>-2</v>
      </c>
    </row>
    <row r="8" spans="1:8" x14ac:dyDescent="0.35">
      <c r="A8" s="1" t="s">
        <v>12</v>
      </c>
      <c r="B8">
        <v>8.1247789897185285E-3</v>
      </c>
      <c r="C8">
        <v>5.9749228050170709E-3</v>
      </c>
      <c r="D8">
        <v>1.359813215142504</v>
      </c>
      <c r="E8">
        <v>0.17388903939183031</v>
      </c>
      <c r="F8">
        <v>-3.5858545185219661E-3</v>
      </c>
      <c r="G8">
        <v>1.9835412497959021E-2</v>
      </c>
      <c r="H8">
        <f t="shared" si="0"/>
        <v>0</v>
      </c>
    </row>
    <row r="9" spans="1:8" x14ac:dyDescent="0.35">
      <c r="A9" s="1" t="s">
        <v>13</v>
      </c>
      <c r="B9">
        <v>1.5466862921607041E-3</v>
      </c>
      <c r="C9">
        <v>5.8382909116760154E-3</v>
      </c>
      <c r="D9">
        <v>0.26492107288923922</v>
      </c>
      <c r="E9">
        <v>0.79107026434380945</v>
      </c>
      <c r="F9">
        <v>-9.8961536259918031E-3</v>
      </c>
      <c r="G9">
        <v>1.2989526210313211E-2</v>
      </c>
      <c r="H9">
        <f t="shared" si="0"/>
        <v>1</v>
      </c>
    </row>
    <row r="10" spans="1:8" x14ac:dyDescent="0.35">
      <c r="A10" s="1" t="s">
        <v>14</v>
      </c>
      <c r="B10">
        <v>2.185035161507809E-3</v>
      </c>
      <c r="C10">
        <v>7.590824678843003E-3</v>
      </c>
      <c r="D10">
        <v>0.28785214439188622</v>
      </c>
      <c r="E10">
        <v>0.77345992032407795</v>
      </c>
      <c r="F10">
        <v>-1.2692707821982299E-2</v>
      </c>
      <c r="G10">
        <v>1.7062778144997921E-2</v>
      </c>
      <c r="H10">
        <f t="shared" si="0"/>
        <v>2</v>
      </c>
    </row>
    <row r="11" spans="1:8" x14ac:dyDescent="0.35">
      <c r="A11" s="1" t="s">
        <v>15</v>
      </c>
      <c r="B11">
        <v>-1.099819799757817E-3</v>
      </c>
      <c r="C11">
        <v>3.2914751099115268E-3</v>
      </c>
      <c r="D11">
        <v>-0.3341419160199513</v>
      </c>
      <c r="E11">
        <v>0.73827247157949671</v>
      </c>
      <c r="F11">
        <v>-7.5509924711944258E-3</v>
      </c>
      <c r="G11">
        <v>5.351352871678791E-3</v>
      </c>
      <c r="H11">
        <f t="shared" si="0"/>
        <v>3</v>
      </c>
    </row>
    <row r="12" spans="1:8" x14ac:dyDescent="0.35">
      <c r="A12" s="1" t="s">
        <v>16</v>
      </c>
      <c r="B12">
        <v>-2.718251148102091E-3</v>
      </c>
      <c r="C12">
        <v>2.5373724978066722E-3</v>
      </c>
      <c r="D12">
        <v>-1.0712858086275361</v>
      </c>
      <c r="E12">
        <v>0.28404093881458709</v>
      </c>
      <c r="F12">
        <v>-7.6914098591656056E-3</v>
      </c>
      <c r="G12">
        <v>2.254907562961424E-3</v>
      </c>
      <c r="H12">
        <f t="shared" si="0"/>
        <v>4</v>
      </c>
    </row>
    <row r="13" spans="1:8" x14ac:dyDescent="0.35">
      <c r="A13" s="1" t="s">
        <v>17</v>
      </c>
      <c r="B13">
        <v>1.5996887390845371E-2</v>
      </c>
      <c r="C13">
        <v>1.1543488354659581E-2</v>
      </c>
      <c r="D13">
        <v>1.3857931761492319</v>
      </c>
      <c r="E13">
        <v>0.16581006666407891</v>
      </c>
      <c r="F13">
        <v>-6.6279340402449344E-3</v>
      </c>
      <c r="G13">
        <v>3.8621708821935677E-2</v>
      </c>
      <c r="H13">
        <f t="shared" si="0"/>
        <v>5</v>
      </c>
    </row>
    <row r="14" spans="1:8" x14ac:dyDescent="0.35">
      <c r="A14" s="1" t="s">
        <v>18</v>
      </c>
      <c r="B14">
        <v>-1.173121434957314E-2</v>
      </c>
      <c r="C14">
        <v>7.3260999965553209E-3</v>
      </c>
      <c r="D14">
        <v>-1.601290503144793</v>
      </c>
      <c r="E14">
        <v>0.1093125914669837</v>
      </c>
      <c r="F14">
        <v>-2.6090106489960581E-2</v>
      </c>
      <c r="G14">
        <v>2.6276777908143048E-3</v>
      </c>
      <c r="H14">
        <f t="shared" si="0"/>
        <v>6</v>
      </c>
    </row>
    <row r="15" spans="1:8" x14ac:dyDescent="0.35">
      <c r="A15" s="1" t="s">
        <v>19</v>
      </c>
      <c r="B15">
        <v>-5.970923800238559E-3</v>
      </c>
      <c r="C15">
        <v>7.6346703202084107E-3</v>
      </c>
      <c r="D15">
        <v>-0.78208010952797302</v>
      </c>
      <c r="E15">
        <v>0.43416749538718269</v>
      </c>
      <c r="F15">
        <v>-2.093460266168393E-2</v>
      </c>
      <c r="G15">
        <v>8.9927550612068086E-3</v>
      </c>
      <c r="H15">
        <f t="shared" si="0"/>
        <v>7</v>
      </c>
    </row>
    <row r="16" spans="1:8" x14ac:dyDescent="0.35">
      <c r="A16" s="1" t="s">
        <v>20</v>
      </c>
      <c r="B16">
        <v>1.16256821663463E-3</v>
      </c>
      <c r="C16">
        <v>3.5243072987882051E-3</v>
      </c>
      <c r="D16">
        <v>0.32987140963399142</v>
      </c>
      <c r="E16">
        <v>0.74149712723454952</v>
      </c>
      <c r="F16">
        <v>-5.7449471594418948E-3</v>
      </c>
      <c r="G16">
        <v>8.0700835927111532E-3</v>
      </c>
      <c r="H16">
        <f t="shared" si="0"/>
        <v>8</v>
      </c>
    </row>
    <row r="17" spans="1:8" x14ac:dyDescent="0.35">
      <c r="A17" s="1" t="s">
        <v>21</v>
      </c>
      <c r="B17">
        <v>-3.5632887483683101E-4</v>
      </c>
      <c r="C17">
        <v>3.3135286481090912E-3</v>
      </c>
      <c r="D17">
        <v>-0.10753758686836</v>
      </c>
      <c r="E17">
        <v>0.91436250818783438</v>
      </c>
      <c r="F17">
        <v>-6.8507256868723439E-3</v>
      </c>
      <c r="G17">
        <v>6.138067937198682E-3</v>
      </c>
      <c r="H17">
        <f t="shared" si="0"/>
        <v>9</v>
      </c>
    </row>
    <row r="18" spans="1:8" x14ac:dyDescent="0.35">
      <c r="A18" s="1" t="s">
        <v>22</v>
      </c>
      <c r="B18">
        <v>-1.6845203042914481E-3</v>
      </c>
      <c r="C18">
        <v>2.8451587874255249E-3</v>
      </c>
      <c r="D18">
        <v>-0.59206548040002571</v>
      </c>
      <c r="E18">
        <v>0.55380674131416008</v>
      </c>
      <c r="F18">
        <v>-7.2609290579431288E-3</v>
      </c>
      <c r="G18">
        <v>3.8918884493602331E-3</v>
      </c>
      <c r="H18">
        <f t="shared" si="0"/>
        <v>10</v>
      </c>
    </row>
    <row r="19" spans="1:8" x14ac:dyDescent="0.35">
      <c r="A19" s="1" t="s">
        <v>23</v>
      </c>
      <c r="B19">
        <v>-9.9935581948595864E-4</v>
      </c>
      <c r="C19">
        <v>3.3270405268408299E-3</v>
      </c>
      <c r="D19">
        <v>-0.30037380411319797</v>
      </c>
      <c r="E19">
        <v>0.7638920429471916</v>
      </c>
      <c r="F19">
        <v>-7.5202354271991529E-3</v>
      </c>
      <c r="G19">
        <v>5.5215237882272356E-3</v>
      </c>
      <c r="H19">
        <f t="shared" si="0"/>
        <v>11</v>
      </c>
    </row>
    <row r="20" spans="1:8" x14ac:dyDescent="0.35">
      <c r="A20" s="1" t="s">
        <v>24</v>
      </c>
      <c r="B20">
        <v>3.9134924124206721E-4</v>
      </c>
      <c r="C20">
        <v>3.7576071774225749E-3</v>
      </c>
      <c r="D20">
        <v>0.10414852398448481</v>
      </c>
      <c r="E20">
        <v>0.91705148363309608</v>
      </c>
      <c r="F20">
        <v>-6.9734254945553889E-3</v>
      </c>
      <c r="G20">
        <v>7.7561239770395233E-3</v>
      </c>
      <c r="H20">
        <f t="shared" si="0"/>
        <v>12</v>
      </c>
    </row>
    <row r="21" spans="1:8" x14ac:dyDescent="0.35">
      <c r="A21" s="1" t="s">
        <v>25</v>
      </c>
      <c r="B21">
        <v>0.49842525282507921</v>
      </c>
      <c r="C21">
        <v>7.9019980904866727E-2</v>
      </c>
      <c r="D21">
        <v>6.3075850831341054</v>
      </c>
      <c r="E21">
        <v>2.8342278170909118E-10</v>
      </c>
      <c r="F21">
        <v>0.3435489361924976</v>
      </c>
      <c r="G21">
        <v>0.65330156945766082</v>
      </c>
    </row>
    <row r="22" spans="1:8" x14ac:dyDescent="0.35">
      <c r="A22" s="1" t="s">
        <v>26</v>
      </c>
      <c r="B22">
        <v>0.41041880255298052</v>
      </c>
      <c r="C22">
        <v>5.8958498592544789E-2</v>
      </c>
      <c r="D22">
        <v>6.9611474571178666</v>
      </c>
      <c r="E22">
        <v>3.3751226486384722E-12</v>
      </c>
      <c r="F22">
        <v>0.2948622687290372</v>
      </c>
      <c r="G22">
        <v>0.52597533637692373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S12" sqref="S12"/>
    </sheetView>
  </sheetViews>
  <sheetFormatPr defaultRowHeight="14.5" x14ac:dyDescent="0.35"/>
  <sheetData>
    <row r="1" spans="1:8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8" x14ac:dyDescent="0.35">
      <c r="A2" s="1" t="s">
        <v>6</v>
      </c>
      <c r="B2">
        <v>-0.33717633982914919</v>
      </c>
      <c r="C2">
        <v>0.14516016920517591</v>
      </c>
      <c r="D2">
        <v>-2.3227882805273472</v>
      </c>
      <c r="E2">
        <v>2.019052896590157E-2</v>
      </c>
      <c r="F2">
        <v>-0.62168504346103415</v>
      </c>
      <c r="G2">
        <v>-5.2667636197264223E-2</v>
      </c>
    </row>
    <row r="3" spans="1:8" x14ac:dyDescent="0.35">
      <c r="A3" s="1" t="s">
        <v>7</v>
      </c>
      <c r="B3">
        <v>-3.082798837089618E-3</v>
      </c>
      <c r="C3">
        <v>3.2020348967457569E-3</v>
      </c>
      <c r="D3">
        <v>-0.96276241093520898</v>
      </c>
      <c r="E3">
        <v>0.33566676837591602</v>
      </c>
      <c r="F3">
        <v>-9.3586719119517318E-3</v>
      </c>
      <c r="G3">
        <v>3.1930742377724959E-3</v>
      </c>
      <c r="H3">
        <f>VALUE(_xlfn.TEXTAFTER(A3,"_"))</f>
        <v>-6</v>
      </c>
    </row>
    <row r="4" spans="1:8" x14ac:dyDescent="0.35">
      <c r="A4" s="1" t="s">
        <v>8</v>
      </c>
      <c r="B4">
        <v>-3.6515289647786049E-3</v>
      </c>
      <c r="C4">
        <v>2.5500663955538628E-3</v>
      </c>
      <c r="D4">
        <v>-1.431934859086486</v>
      </c>
      <c r="E4">
        <v>0.1521624647902223</v>
      </c>
      <c r="F4">
        <v>-8.6495672582500484E-3</v>
      </c>
      <c r="G4">
        <v>1.346509328692838E-3</v>
      </c>
      <c r="H4">
        <f t="shared" ref="H4:H20" si="0">VALUE(_xlfn.TEXTAFTER(A4,"_"))</f>
        <v>-5</v>
      </c>
    </row>
    <row r="5" spans="1:8" x14ac:dyDescent="0.35">
      <c r="A5" s="1" t="s">
        <v>9</v>
      </c>
      <c r="B5">
        <v>-1.3391548304326759E-3</v>
      </c>
      <c r="C5">
        <v>1.187185530181065E-3</v>
      </c>
      <c r="D5">
        <v>-1.1280080462473581</v>
      </c>
      <c r="E5">
        <v>0.25931652103568981</v>
      </c>
      <c r="F5">
        <v>-3.665995712554652E-3</v>
      </c>
      <c r="G5">
        <v>9.8768605168930018E-4</v>
      </c>
      <c r="H5">
        <f t="shared" si="0"/>
        <v>-4</v>
      </c>
    </row>
    <row r="6" spans="1:8" x14ac:dyDescent="0.35">
      <c r="A6" s="1" t="s">
        <v>10</v>
      </c>
      <c r="B6">
        <v>-2.3986010301713101E-4</v>
      </c>
      <c r="C6">
        <v>1.115074487312572E-3</v>
      </c>
      <c r="D6">
        <v>-0.2151067984661858</v>
      </c>
      <c r="E6">
        <v>0.82968405356487929</v>
      </c>
      <c r="F6">
        <v>-2.4253659382292379E-3</v>
      </c>
      <c r="G6">
        <v>1.9456457321949761E-3</v>
      </c>
      <c r="H6">
        <f t="shared" si="0"/>
        <v>-3</v>
      </c>
    </row>
    <row r="7" spans="1:8" x14ac:dyDescent="0.35">
      <c r="A7" s="1" t="s">
        <v>11</v>
      </c>
      <c r="B7">
        <v>6.0151564711063976E-4</v>
      </c>
      <c r="C7">
        <v>9.6697233351634786E-4</v>
      </c>
      <c r="D7">
        <v>0.62206086592287224</v>
      </c>
      <c r="E7">
        <v>0.53390184633600235</v>
      </c>
      <c r="F7">
        <v>-1.293715300628055E-3</v>
      </c>
      <c r="G7">
        <v>2.4967465948493349E-3</v>
      </c>
      <c r="H7">
        <f t="shared" si="0"/>
        <v>-2</v>
      </c>
    </row>
    <row r="8" spans="1:8" x14ac:dyDescent="0.35">
      <c r="A8" s="1" t="s">
        <v>12</v>
      </c>
      <c r="B8">
        <v>2.0357409147639949E-3</v>
      </c>
      <c r="C8">
        <v>1.628584511029392E-3</v>
      </c>
      <c r="D8">
        <v>1.2500063097599079</v>
      </c>
      <c r="E8">
        <v>0.21129724239904771</v>
      </c>
      <c r="F8">
        <v>-1.1562260726333869E-3</v>
      </c>
      <c r="G8">
        <v>5.2277079021613767E-3</v>
      </c>
      <c r="H8">
        <f t="shared" si="0"/>
        <v>0</v>
      </c>
    </row>
    <row r="9" spans="1:8" x14ac:dyDescent="0.35">
      <c r="A9" s="1" t="s">
        <v>13</v>
      </c>
      <c r="B9">
        <v>1.34273959331821E-3</v>
      </c>
      <c r="C9">
        <v>1.881884988133788E-3</v>
      </c>
      <c r="D9">
        <v>0.71350778702462936</v>
      </c>
      <c r="E9">
        <v>0.47553159625970631</v>
      </c>
      <c r="F9">
        <v>-2.345687206470601E-3</v>
      </c>
      <c r="G9">
        <v>5.0311663931070201E-3</v>
      </c>
      <c r="H9">
        <f t="shared" si="0"/>
        <v>1</v>
      </c>
    </row>
    <row r="10" spans="1:8" x14ac:dyDescent="0.35">
      <c r="A10" s="1" t="s">
        <v>14</v>
      </c>
      <c r="B10">
        <v>8.6049922848552285E-4</v>
      </c>
      <c r="C10">
        <v>2.8569634450414708E-3</v>
      </c>
      <c r="D10">
        <v>0.30119364319449038</v>
      </c>
      <c r="E10">
        <v>0.76326683689660024</v>
      </c>
      <c r="F10">
        <v>-4.7390462289432379E-3</v>
      </c>
      <c r="G10">
        <v>6.4600446859142844E-3</v>
      </c>
      <c r="H10">
        <f t="shared" si="0"/>
        <v>2</v>
      </c>
    </row>
    <row r="11" spans="1:8" x14ac:dyDescent="0.35">
      <c r="A11" s="1" t="s">
        <v>15</v>
      </c>
      <c r="B11">
        <v>1.766370818395258E-3</v>
      </c>
      <c r="C11">
        <v>1.113907698341814E-3</v>
      </c>
      <c r="D11">
        <v>1.585742535961205</v>
      </c>
      <c r="E11">
        <v>0.112797725853406</v>
      </c>
      <c r="F11">
        <v>-4.1684815245660468E-4</v>
      </c>
      <c r="G11">
        <v>3.9495897892471198E-3</v>
      </c>
      <c r="H11">
        <f t="shared" si="0"/>
        <v>3</v>
      </c>
    </row>
    <row r="12" spans="1:8" x14ac:dyDescent="0.35">
      <c r="A12" s="1" t="s">
        <v>16</v>
      </c>
      <c r="B12">
        <v>-5.829105212655783E-4</v>
      </c>
      <c r="C12">
        <v>9.6837550143571147E-4</v>
      </c>
      <c r="D12">
        <v>-0.60194678655269196</v>
      </c>
      <c r="E12">
        <v>0.54720955942047467</v>
      </c>
      <c r="F12">
        <v>-2.4808916275904881E-3</v>
      </c>
      <c r="G12">
        <v>1.3150705850593311E-3</v>
      </c>
      <c r="H12">
        <f t="shared" si="0"/>
        <v>4</v>
      </c>
    </row>
    <row r="13" spans="1:8" x14ac:dyDescent="0.35">
      <c r="A13" s="1" t="s">
        <v>17</v>
      </c>
      <c r="B13">
        <v>5.7866513651896323E-3</v>
      </c>
      <c r="C13">
        <v>3.786441678534141E-3</v>
      </c>
      <c r="D13">
        <v>1.5282557758633799</v>
      </c>
      <c r="E13">
        <v>0.1264490453951872</v>
      </c>
      <c r="F13">
        <v>-1.6346379542986731E-3</v>
      </c>
      <c r="G13">
        <v>1.3207940684677941E-2</v>
      </c>
      <c r="H13">
        <f t="shared" si="0"/>
        <v>5</v>
      </c>
    </row>
    <row r="14" spans="1:8" x14ac:dyDescent="0.35">
      <c r="A14" s="1" t="s">
        <v>18</v>
      </c>
      <c r="B14">
        <v>-4.3450294042408633E-3</v>
      </c>
      <c r="C14">
        <v>2.7918670321029162E-3</v>
      </c>
      <c r="D14">
        <v>-1.5563167422655011</v>
      </c>
      <c r="E14">
        <v>0.119632792180744</v>
      </c>
      <c r="F14">
        <v>-9.816988236787309E-3</v>
      </c>
      <c r="G14">
        <v>1.126929428305582E-3</v>
      </c>
      <c r="H14">
        <f t="shared" si="0"/>
        <v>6</v>
      </c>
    </row>
    <row r="15" spans="1:8" x14ac:dyDescent="0.35">
      <c r="A15" s="1" t="s">
        <v>19</v>
      </c>
      <c r="B15">
        <v>-3.0847535734523919E-3</v>
      </c>
      <c r="C15">
        <v>2.5241760488788822E-3</v>
      </c>
      <c r="D15">
        <v>-1.222083370461617</v>
      </c>
      <c r="E15">
        <v>0.22167610107566549</v>
      </c>
      <c r="F15">
        <v>-8.0320477198936174E-3</v>
      </c>
      <c r="G15">
        <v>1.8625405729888319E-3</v>
      </c>
      <c r="H15">
        <f t="shared" si="0"/>
        <v>7</v>
      </c>
    </row>
    <row r="16" spans="1:8" x14ac:dyDescent="0.35">
      <c r="A16" s="1" t="s">
        <v>20</v>
      </c>
      <c r="B16">
        <v>1.4442088425303809E-4</v>
      </c>
      <c r="C16">
        <v>1.040793544074446E-3</v>
      </c>
      <c r="D16">
        <v>0.13876035749382781</v>
      </c>
      <c r="E16">
        <v>0.88963952099375909</v>
      </c>
      <c r="F16">
        <v>-1.8954969774746769E-3</v>
      </c>
      <c r="G16">
        <v>2.1843387459807529E-3</v>
      </c>
      <c r="H16">
        <f t="shared" si="0"/>
        <v>8</v>
      </c>
    </row>
    <row r="17" spans="1:8" x14ac:dyDescent="0.35">
      <c r="A17" s="1" t="s">
        <v>21</v>
      </c>
      <c r="B17">
        <v>5.6447123184533154E-4</v>
      </c>
      <c r="C17">
        <v>1.113119204061199E-3</v>
      </c>
      <c r="D17">
        <v>0.50710762134537479</v>
      </c>
      <c r="E17">
        <v>0.61207930775705699</v>
      </c>
      <c r="F17">
        <v>-1.6172023186145101E-3</v>
      </c>
      <c r="G17">
        <v>2.7461447823051732E-3</v>
      </c>
      <c r="H17">
        <f t="shared" si="0"/>
        <v>9</v>
      </c>
    </row>
    <row r="18" spans="1:8" x14ac:dyDescent="0.35">
      <c r="A18" s="1" t="s">
        <v>22</v>
      </c>
      <c r="B18">
        <v>-5.6196850630141348E-4</v>
      </c>
      <c r="C18">
        <v>1.344099677734452E-3</v>
      </c>
      <c r="D18">
        <v>-0.41810032069097708</v>
      </c>
      <c r="E18">
        <v>0.67587377051598663</v>
      </c>
      <c r="F18">
        <v>-3.196355466292833E-3</v>
      </c>
      <c r="G18">
        <v>2.0724184536900061E-3</v>
      </c>
      <c r="H18">
        <f t="shared" si="0"/>
        <v>10</v>
      </c>
    </row>
    <row r="19" spans="1:8" x14ac:dyDescent="0.35">
      <c r="A19" s="1" t="s">
        <v>23</v>
      </c>
      <c r="B19">
        <v>8.6248035161273773E-4</v>
      </c>
      <c r="C19">
        <v>1.4450742806870549E-3</v>
      </c>
      <c r="D19">
        <v>0.59684153481900915</v>
      </c>
      <c r="E19">
        <v>0.55061318439691087</v>
      </c>
      <c r="F19">
        <v>-1.9698131935190159E-3</v>
      </c>
      <c r="G19">
        <v>3.6947738967444909E-3</v>
      </c>
      <c r="H19">
        <f t="shared" si="0"/>
        <v>11</v>
      </c>
    </row>
    <row r="20" spans="1:8" x14ac:dyDescent="0.35">
      <c r="A20" s="1" t="s">
        <v>24</v>
      </c>
      <c r="B20">
        <v>1.8192337901273841E-3</v>
      </c>
      <c r="C20">
        <v>1.357455477751056E-3</v>
      </c>
      <c r="D20">
        <v>1.3401793428550399</v>
      </c>
      <c r="E20">
        <v>0.18018704575929889</v>
      </c>
      <c r="F20">
        <v>-8.4133005688129779E-4</v>
      </c>
      <c r="G20">
        <v>4.479797637136065E-3</v>
      </c>
      <c r="H20">
        <f t="shared" si="0"/>
        <v>12</v>
      </c>
    </row>
    <row r="21" spans="1:8" x14ac:dyDescent="0.35">
      <c r="A21" s="1" t="s">
        <v>25</v>
      </c>
      <c r="B21">
        <v>0.48561793791054703</v>
      </c>
      <c r="C21">
        <v>6.6377534716095921E-2</v>
      </c>
      <c r="D21">
        <v>7.3159984019832729</v>
      </c>
      <c r="E21">
        <v>2.5547470243465332E-13</v>
      </c>
      <c r="F21">
        <v>0.35552036048444191</v>
      </c>
      <c r="G21">
        <v>0.61571551533665203</v>
      </c>
    </row>
    <row r="22" spans="1:8" x14ac:dyDescent="0.35">
      <c r="A22" s="1" t="s">
        <v>26</v>
      </c>
      <c r="B22">
        <v>0.43981030502258989</v>
      </c>
      <c r="C22">
        <v>5.549239855381001E-2</v>
      </c>
      <c r="D22">
        <v>7.9255955137010972</v>
      </c>
      <c r="E22">
        <v>2.2705554724677111E-15</v>
      </c>
      <c r="F22">
        <v>0.3310472024413797</v>
      </c>
      <c r="G22">
        <v>0.54857340760380013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tabSelected="1" workbookViewId="0">
      <selection activeCell="K4" sqref="K4"/>
    </sheetView>
  </sheetViews>
  <sheetFormatPr defaultRowHeight="14.5" x14ac:dyDescent="0.35"/>
  <sheetData>
    <row r="1" spans="1:8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8" x14ac:dyDescent="0.35">
      <c r="A2" s="1" t="s">
        <v>6</v>
      </c>
      <c r="B2">
        <v>-0.1170914427736207</v>
      </c>
      <c r="C2">
        <v>0.1035369295521348</v>
      </c>
      <c r="D2">
        <v>-1.130914769059872</v>
      </c>
      <c r="E2">
        <v>0.25809096643841167</v>
      </c>
      <c r="F2">
        <v>-0.3200200957656657</v>
      </c>
      <c r="G2">
        <v>8.5837210218424248E-2</v>
      </c>
    </row>
    <row r="3" spans="1:8" x14ac:dyDescent="0.35">
      <c r="A3" s="1" t="s">
        <v>7</v>
      </c>
      <c r="B3">
        <v>-3.3648564739588989E-3</v>
      </c>
      <c r="C3">
        <v>6.0421757755779754E-3</v>
      </c>
      <c r="D3">
        <v>-0.55689483373843562</v>
      </c>
      <c r="E3">
        <v>0.57759928460535748</v>
      </c>
      <c r="F3">
        <v>-1.52073033823521E-2</v>
      </c>
      <c r="G3">
        <v>8.4775904344342994E-3</v>
      </c>
      <c r="H3">
        <f>VALUE(_xlfn.TEXTAFTER(A3,"_"))</f>
        <v>-6</v>
      </c>
    </row>
    <row r="4" spans="1:8" x14ac:dyDescent="0.35">
      <c r="A4" s="1" t="s">
        <v>8</v>
      </c>
      <c r="B4">
        <v>-3.0641201014208752E-3</v>
      </c>
      <c r="C4">
        <v>6.0841944398283727E-3</v>
      </c>
      <c r="D4">
        <v>-0.50361968732664464</v>
      </c>
      <c r="E4">
        <v>0.61452865522035038</v>
      </c>
      <c r="F4">
        <v>-1.4988922078423341E-2</v>
      </c>
      <c r="G4">
        <v>8.8606818755815851E-3</v>
      </c>
      <c r="H4">
        <f t="shared" ref="H4:H20" si="0">VALUE(_xlfn.TEXTAFTER(A4,"_"))</f>
        <v>-5</v>
      </c>
    </row>
    <row r="5" spans="1:8" x14ac:dyDescent="0.35">
      <c r="A5" s="1" t="s">
        <v>9</v>
      </c>
      <c r="B5">
        <v>1.5204532091539491E-3</v>
      </c>
      <c r="C5">
        <v>2.878327611494104E-3</v>
      </c>
      <c r="D5">
        <v>0.52824188708828068</v>
      </c>
      <c r="E5">
        <v>0.59733146024599959</v>
      </c>
      <c r="F5">
        <v>-4.1209652450816918E-3</v>
      </c>
      <c r="G5">
        <v>7.16187166338959E-3</v>
      </c>
      <c r="H5">
        <f t="shared" si="0"/>
        <v>-4</v>
      </c>
    </row>
    <row r="6" spans="1:8" x14ac:dyDescent="0.35">
      <c r="A6" s="1" t="s">
        <v>10</v>
      </c>
      <c r="B6">
        <v>2.535798181795057E-3</v>
      </c>
      <c r="C6">
        <v>3.0109943132622589E-3</v>
      </c>
      <c r="D6">
        <v>0.84217966491197005</v>
      </c>
      <c r="E6">
        <v>0.39968739446218232</v>
      </c>
      <c r="F6">
        <v>-3.365642229853884E-3</v>
      </c>
      <c r="G6">
        <v>8.4372385934439985E-3</v>
      </c>
      <c r="H6">
        <f t="shared" si="0"/>
        <v>-3</v>
      </c>
    </row>
    <row r="7" spans="1:8" x14ac:dyDescent="0.35">
      <c r="A7" s="1" t="s">
        <v>11</v>
      </c>
      <c r="B7">
        <v>1.495991917287443E-3</v>
      </c>
      <c r="C7">
        <v>3.2126162016506751E-3</v>
      </c>
      <c r="D7">
        <v>0.46566157405257008</v>
      </c>
      <c r="E7">
        <v>0.64145776134249899</v>
      </c>
      <c r="F7">
        <v>-4.8006201340977488E-3</v>
      </c>
      <c r="G7">
        <v>7.7926039686726338E-3</v>
      </c>
      <c r="H7">
        <f t="shared" si="0"/>
        <v>-2</v>
      </c>
    </row>
    <row r="8" spans="1:8" x14ac:dyDescent="0.35">
      <c r="A8" s="1" t="s">
        <v>12</v>
      </c>
      <c r="B8">
        <v>5.5253774977341852E-3</v>
      </c>
      <c r="C8">
        <v>3.1566032714925138E-3</v>
      </c>
      <c r="D8">
        <v>1.7504187325769509</v>
      </c>
      <c r="E8">
        <v>8.0046085948496465E-2</v>
      </c>
      <c r="F8">
        <v>-6.6145122787245308E-4</v>
      </c>
      <c r="G8">
        <v>1.1712206223340821E-2</v>
      </c>
      <c r="H8">
        <f t="shared" si="0"/>
        <v>0</v>
      </c>
    </row>
    <row r="9" spans="1:8" x14ac:dyDescent="0.35">
      <c r="A9" s="1" t="s">
        <v>13</v>
      </c>
      <c r="B9">
        <v>7.1536484695000624E-3</v>
      </c>
      <c r="C9">
        <v>4.9537535056396239E-3</v>
      </c>
      <c r="D9">
        <v>1.444086481363265</v>
      </c>
      <c r="E9">
        <v>0.14871465027930861</v>
      </c>
      <c r="F9">
        <v>-2.5555299898426362E-3</v>
      </c>
      <c r="G9">
        <v>1.6862826928842761E-2</v>
      </c>
      <c r="H9">
        <f t="shared" si="0"/>
        <v>1</v>
      </c>
    </row>
    <row r="10" spans="1:8" x14ac:dyDescent="0.35">
      <c r="A10" s="1" t="s">
        <v>14</v>
      </c>
      <c r="B10">
        <v>2.3248307727068429E-3</v>
      </c>
      <c r="C10">
        <v>1.220908206447611E-2</v>
      </c>
      <c r="D10">
        <v>0.19041814613329819</v>
      </c>
      <c r="E10">
        <v>0.84898147925200473</v>
      </c>
      <c r="F10">
        <v>-2.1604530357960269E-2</v>
      </c>
      <c r="G10">
        <v>2.6254191903373952E-2</v>
      </c>
      <c r="H10">
        <f t="shared" si="0"/>
        <v>2</v>
      </c>
    </row>
    <row r="11" spans="1:8" x14ac:dyDescent="0.35">
      <c r="A11" s="1" t="s">
        <v>15</v>
      </c>
      <c r="B11">
        <v>7.184015789733933E-3</v>
      </c>
      <c r="C11">
        <v>4.6144206577788342E-3</v>
      </c>
      <c r="D11">
        <v>1.5568619167009321</v>
      </c>
      <c r="E11">
        <v>0.1195032729586722</v>
      </c>
      <c r="F11">
        <v>-1.8600825090302081E-3</v>
      </c>
      <c r="G11">
        <v>1.6228114088498068E-2</v>
      </c>
      <c r="H11">
        <f t="shared" si="0"/>
        <v>3</v>
      </c>
    </row>
    <row r="12" spans="1:8" x14ac:dyDescent="0.35">
      <c r="A12" s="1" t="s">
        <v>16</v>
      </c>
      <c r="B12">
        <v>1.0722705590594741E-2</v>
      </c>
      <c r="C12">
        <v>6.8036674221000626E-3</v>
      </c>
      <c r="D12">
        <v>1.5760184802338559</v>
      </c>
      <c r="E12">
        <v>0.11502154432556359</v>
      </c>
      <c r="F12">
        <v>-2.6122375195098569E-3</v>
      </c>
      <c r="G12">
        <v>2.4057648700699329E-2</v>
      </c>
      <c r="H12">
        <f t="shared" si="0"/>
        <v>4</v>
      </c>
    </row>
    <row r="13" spans="1:8" x14ac:dyDescent="0.35">
      <c r="A13" s="1" t="s">
        <v>17</v>
      </c>
      <c r="B13">
        <v>7.6282306135162514E-3</v>
      </c>
      <c r="C13">
        <v>7.7940870943152066E-3</v>
      </c>
      <c r="D13">
        <v>0.97872021716052848</v>
      </c>
      <c r="E13">
        <v>0.32771823990050092</v>
      </c>
      <c r="F13">
        <v>-7.6478993837099923E-3</v>
      </c>
      <c r="G13">
        <v>2.29043606107425E-2</v>
      </c>
      <c r="H13">
        <f t="shared" si="0"/>
        <v>5</v>
      </c>
    </row>
    <row r="14" spans="1:8" x14ac:dyDescent="0.35">
      <c r="A14" s="1" t="s">
        <v>18</v>
      </c>
      <c r="B14">
        <v>-1.0548349411445669E-2</v>
      </c>
      <c r="C14">
        <v>5.910758548928763E-3</v>
      </c>
      <c r="D14">
        <v>-1.7846016419258739</v>
      </c>
      <c r="E14">
        <v>7.432595491284763E-2</v>
      </c>
      <c r="F14">
        <v>-2.2133223288658271E-2</v>
      </c>
      <c r="G14">
        <v>1.0365244657669389E-3</v>
      </c>
      <c r="H14">
        <f t="shared" si="0"/>
        <v>6</v>
      </c>
    </row>
    <row r="15" spans="1:8" x14ac:dyDescent="0.35">
      <c r="A15" s="1" t="s">
        <v>19</v>
      </c>
      <c r="B15">
        <v>-4.4897094090466383E-3</v>
      </c>
      <c r="C15">
        <v>6.9734612032626301E-3</v>
      </c>
      <c r="D15">
        <v>-0.64382797554621307</v>
      </c>
      <c r="E15">
        <v>0.51968699065909596</v>
      </c>
      <c r="F15">
        <v>-1.8157442215028741E-2</v>
      </c>
      <c r="G15">
        <v>9.1780233969354658E-3</v>
      </c>
      <c r="H15">
        <f t="shared" si="0"/>
        <v>7</v>
      </c>
    </row>
    <row r="16" spans="1:8" x14ac:dyDescent="0.35">
      <c r="A16" s="1" t="s">
        <v>20</v>
      </c>
      <c r="B16">
        <v>3.0107293846839411E-3</v>
      </c>
      <c r="C16">
        <v>2.9457737462101072E-3</v>
      </c>
      <c r="D16">
        <v>1.022050450601443</v>
      </c>
      <c r="E16">
        <v>0.30675702293483642</v>
      </c>
      <c r="F16">
        <v>-2.762881064491502E-3</v>
      </c>
      <c r="G16">
        <v>8.7843398338593847E-3</v>
      </c>
      <c r="H16">
        <f t="shared" si="0"/>
        <v>8</v>
      </c>
    </row>
    <row r="17" spans="1:8" x14ac:dyDescent="0.35">
      <c r="A17" s="1" t="s">
        <v>21</v>
      </c>
      <c r="B17">
        <v>3.2674315011775872E-3</v>
      </c>
      <c r="C17">
        <v>3.0639784220029679E-3</v>
      </c>
      <c r="D17">
        <v>1.0664016031293131</v>
      </c>
      <c r="E17">
        <v>0.28624213731796688</v>
      </c>
      <c r="F17">
        <v>-2.737855855356098E-3</v>
      </c>
      <c r="G17">
        <v>9.272718857711271E-3</v>
      </c>
      <c r="H17">
        <f t="shared" si="0"/>
        <v>9</v>
      </c>
    </row>
    <row r="18" spans="1:8" x14ac:dyDescent="0.35">
      <c r="A18" s="1" t="s">
        <v>22</v>
      </c>
      <c r="B18">
        <v>3.9534336014954707E-3</v>
      </c>
      <c r="C18">
        <v>2.5793214889047169E-3</v>
      </c>
      <c r="D18">
        <v>1.5327416991257869</v>
      </c>
      <c r="E18">
        <v>0.12533951050446029</v>
      </c>
      <c r="F18">
        <v>-1.1019436213080039E-3</v>
      </c>
      <c r="G18">
        <v>9.0088108242989441E-3</v>
      </c>
      <c r="H18">
        <f t="shared" si="0"/>
        <v>10</v>
      </c>
    </row>
    <row r="19" spans="1:8" x14ac:dyDescent="0.35">
      <c r="A19" s="1" t="s">
        <v>23</v>
      </c>
      <c r="B19">
        <v>5.570478221762265E-3</v>
      </c>
      <c r="C19">
        <v>3.208672309544189E-3</v>
      </c>
      <c r="D19">
        <v>1.7360695279455269</v>
      </c>
      <c r="E19">
        <v>8.2551541574307233E-2</v>
      </c>
      <c r="F19">
        <v>-7.184039431353019E-4</v>
      </c>
      <c r="G19">
        <v>1.185936038665983E-2</v>
      </c>
      <c r="H19">
        <f t="shared" si="0"/>
        <v>11</v>
      </c>
    </row>
    <row r="20" spans="1:8" x14ac:dyDescent="0.35">
      <c r="A20" s="1" t="s">
        <v>24</v>
      </c>
      <c r="B20">
        <v>4.4997255230565516E-3</v>
      </c>
      <c r="C20">
        <v>3.1299571216103902E-3</v>
      </c>
      <c r="D20">
        <v>1.4376316825520621</v>
      </c>
      <c r="E20">
        <v>0.15053858650000371</v>
      </c>
      <c r="F20">
        <v>-1.634877708454466E-3</v>
      </c>
      <c r="G20">
        <v>1.063432875456757E-2</v>
      </c>
      <c r="H20">
        <f t="shared" si="0"/>
        <v>12</v>
      </c>
    </row>
    <row r="21" spans="1:8" x14ac:dyDescent="0.35">
      <c r="A21" s="1" t="s">
        <v>25</v>
      </c>
      <c r="B21">
        <v>0.46681960432441022</v>
      </c>
      <c r="C21">
        <v>5.6062127357846617E-2</v>
      </c>
      <c r="D21">
        <v>8.3268264392587792</v>
      </c>
      <c r="E21">
        <v>8.3038348344292488E-17</v>
      </c>
      <c r="F21">
        <v>0.35693985380633309</v>
      </c>
      <c r="G21">
        <v>0.57669935484248724</v>
      </c>
    </row>
    <row r="22" spans="1:8" x14ac:dyDescent="0.35">
      <c r="A22" s="1" t="s">
        <v>26</v>
      </c>
      <c r="B22">
        <v>0.50657083662271063</v>
      </c>
      <c r="C22">
        <v>5.1510593571521733E-2</v>
      </c>
      <c r="D22">
        <v>9.8343040042694181</v>
      </c>
      <c r="E22">
        <v>8.0119664735508413E-23</v>
      </c>
      <c r="F22">
        <v>0.40561192840024762</v>
      </c>
      <c r="G22">
        <v>0.60752974484517364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Comprehensive Housing Index</vt:lpstr>
      <vt:lpstr>Apartment</vt:lpstr>
      <vt:lpstr>Low-Rise Multi-Unit Housing</vt:lpstr>
      <vt:lpstr>Single-Family 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Kim, Eric</cp:lastModifiedBy>
  <dcterms:created xsi:type="dcterms:W3CDTF">2026-02-28T22:00:46Z</dcterms:created>
  <dcterms:modified xsi:type="dcterms:W3CDTF">2026-03-02T06:30:01Z</dcterms:modified>
</cp:coreProperties>
</file>