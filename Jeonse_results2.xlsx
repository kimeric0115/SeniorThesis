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Senior Thesis Excel Files\"/>
    </mc:Choice>
  </mc:AlternateContent>
  <xr:revisionPtr revIDLastSave="0" documentId="13_ncr:1_{6BEE838F-5F4D-4419-819A-F6F9313BCF2D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omprehensive Housing Index" sheetId="1" r:id="rId1"/>
    <sheet name="Apartment" sheetId="2" r:id="rId2"/>
    <sheet name="Low-Rise Multi-Unit Housing" sheetId="3" r:id="rId3"/>
    <sheet name="Single-Family Ho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4" l="1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<sst xmlns="http://schemas.openxmlformats.org/spreadsheetml/2006/main" count="108" uniqueCount="27">
  <si>
    <t>Coef.</t>
  </si>
  <si>
    <t>Std.Err.</t>
  </si>
  <si>
    <t>z</t>
  </si>
  <si>
    <t>P&gt;|z|</t>
  </si>
  <si>
    <t>[0.025</t>
  </si>
  <si>
    <t>0.975]</t>
  </si>
  <si>
    <t>const</t>
  </si>
  <si>
    <t>event_-6</t>
  </si>
  <si>
    <t>event_-5</t>
  </si>
  <si>
    <t>event_-4</t>
  </si>
  <si>
    <t>event_-3</t>
  </si>
  <si>
    <t>event_-2</t>
  </si>
  <si>
    <t>event_0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</si>
  <si>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</si>
  <si>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</si>
  <si>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</si>
  <si>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</si>
  <si>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</si>
  <si>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</si>
  <si>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</si>
  <si>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</si>
  <si>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</si>
  <si>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</si>
  <si>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</si>
  <si>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</si>
  <si>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ratio_lag1</t>
  </si>
  <si>
    <t>ratio_lag2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</si>
</sst>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'Comprehensive Housing Index'!$H$3:$H$20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'Comprehensive Housing Index'!$B$3:$B$20</c:f>
              <c:numCache>
                <c:formatCode>General</c:formatCode>
                <c:ptCount val="18"/>
                <c:pt idx="0">
                  <c:v>1.7763194432534189E-3</c:v>
                </c:pt>
                <c:pt idx="1">
                  <c:v>1.92405804597854E-3</c:v>
                </c:pt>
                <c:pt idx="2">
                  <c:v>2.660778030934223E-3</c:v>
                </c:pt>
                <c:pt idx="3">
                  <c:v>3.248024905077931E-3</c:v>
                </c:pt>
                <c:pt idx="4">
                  <c:v>3.135362357840607E-3</c:v>
                </c:pt>
                <c:pt idx="5">
                  <c:v>7.5978850087212576E-3</c:v>
                </c:pt>
                <c:pt idx="6">
                  <c:v>4.0551746995712984E-3</c:v>
                </c:pt>
                <c:pt idx="7">
                  <c:v>5.5006374770258937E-3</c:v>
                </c:pt>
                <c:pt idx="8">
                  <c:v>2.9436682961950789E-3</c:v>
                </c:pt>
                <c:pt idx="9">
                  <c:v>9.3327498300428691E-3</c:v>
                </c:pt>
                <c:pt idx="10">
                  <c:v>9.1893735175041513E-3</c:v>
                </c:pt>
                <c:pt idx="11">
                  <c:v>-6.3797080666784939E-3</c:v>
                </c:pt>
                <c:pt idx="12">
                  <c:v>6.4531799014029556E-4</c:v>
                </c:pt>
                <c:pt idx="13">
                  <c:v>4.0813231550054091E-3</c:v>
                </c:pt>
                <c:pt idx="14">
                  <c:v>2.8505618449091719E-3</c:v>
                </c:pt>
                <c:pt idx="15">
                  <c:v>3.9668080992002058E-3</c:v>
                </c:pt>
                <c:pt idx="16">
                  <c:v>6.454151646594769E-4</c:v>
                </c:pt>
                <c:pt idx="17">
                  <c:v>2.0052375797639239E-3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5E-422D-953D-B2782A728B89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'Comprehensive Housing Index'!$H$3:$H$20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'Comprehensive Housing Index'!$F$3:$F$20</c:f>
              <c:numCache>
                <c:formatCode>General</c:formatCode>
                <c:ptCount val="18"/>
                <c:pt idx="0">
                  <c:v>-8.4886485759300481E-3</c:v>
                </c:pt>
                <c:pt idx="1">
                  <c:v>-5.8633786914054032E-3</c:v>
                </c:pt>
                <c:pt idx="2">
                  <c:v>-4.3677892888511222E-3</c:v>
                </c:pt>
                <c:pt idx="3">
                  <c:v>-3.220007814875817E-3</c:v>
                </c:pt>
                <c:pt idx="4">
                  <c:v>-4.3728076757526624E-3</c:v>
                </c:pt>
                <c:pt idx="5">
                  <c:v>2.1702494458402631E-3</c:v>
                </c:pt>
                <c:pt idx="6">
                  <c:v>-1.497062725692979E-3</c:v>
                </c:pt>
                <c:pt idx="7">
                  <c:v>-1.0238979838004059E-3</c:v>
                </c:pt>
                <c:pt idx="8">
                  <c:v>-2.8663040163403189E-3</c:v>
                </c:pt>
                <c:pt idx="9">
                  <c:v>-2.6940335467420421E-2</c:v>
                </c:pt>
                <c:pt idx="10">
                  <c:v>-5.7108418605079144E-3</c:v>
                </c:pt>
                <c:pt idx="11">
                  <c:v>-1.480428249396014E-2</c:v>
                </c:pt>
                <c:pt idx="12">
                  <c:v>-6.5487907641168016E-3</c:v>
                </c:pt>
                <c:pt idx="13">
                  <c:v>-3.046867976313036E-3</c:v>
                </c:pt>
                <c:pt idx="14">
                  <c:v>-3.819768040326505E-3</c:v>
                </c:pt>
                <c:pt idx="15">
                  <c:v>-3.2281655177196929E-3</c:v>
                </c:pt>
                <c:pt idx="16">
                  <c:v>-5.3611259078572464E-3</c:v>
                </c:pt>
                <c:pt idx="17">
                  <c:v>-4.0173726129024614E-3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C4-418F-9C33-1A8DE65EC872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'Comprehensive Housing Index'!$H$3:$H$20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'Comprehensive Housing Index'!$G$3:$G$20</c:f>
              <c:numCache>
                <c:formatCode>General</c:formatCode>
                <c:ptCount val="18"/>
                <c:pt idx="0">
                  <c:v>1.204128746243689E-2</c:v>
                </c:pt>
                <c:pt idx="1">
                  <c:v>9.7114947833624836E-3</c:v>
                </c:pt>
                <c:pt idx="2">
                  <c:v>9.6893453507195682E-3</c:v>
                </c:pt>
                <c:pt idx="3">
                  <c:v>9.7160576250316794E-3</c:v>
                </c:pt>
                <c:pt idx="4">
                  <c:v>1.0643532391433881E-2</c:v>
                </c:pt>
                <c:pt idx="5">
                  <c:v>1.302552057160225E-2</c:v>
                </c:pt>
                <c:pt idx="6">
                  <c:v>9.6074121248355751E-3</c:v>
                </c:pt>
                <c:pt idx="7">
                  <c:v>1.2025172937852191E-2</c:v>
                </c:pt>
                <c:pt idx="8">
                  <c:v>8.7536406087304758E-3</c:v>
                </c:pt>
                <c:pt idx="9">
                  <c:v>4.5605835127506163E-2</c:v>
                </c:pt>
                <c:pt idx="10">
                  <c:v>2.4089588895516219E-2</c:v>
                </c:pt>
                <c:pt idx="11">
                  <c:v>2.0448663606031539E-3</c:v>
                </c:pt>
                <c:pt idx="12">
                  <c:v>7.8394267443973945E-3</c:v>
                </c:pt>
                <c:pt idx="13">
                  <c:v>1.120951428632385E-2</c:v>
                </c:pt>
                <c:pt idx="14">
                  <c:v>9.5208917301448474E-3</c:v>
                </c:pt>
                <c:pt idx="15">
                  <c:v>1.116178171612011E-2</c:v>
                </c:pt>
                <c:pt idx="16">
                  <c:v>6.6519562371762002E-3</c:v>
                </c:pt>
                <c:pt idx="17">
                  <c:v>8.0278477724303084E-3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C4-418F-9C33-1A8DE65EC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2263839"/>
        <c:axId val="1582258079"/>
      </c:lineChart>
      <c:catAx>
        <c:axId val="1582263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258079"/>
        <c:crosses val="autoZero"/>
        <c:auto val="1"/>
        <c:lblAlgn val="ctr"/>
        <c:lblOffset val="100"/>
        <c:noMultiLvlLbl val="0"/>
      </c:catAx>
      <c:valAx>
        <c:axId val="158225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263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Apartment!$H$3:$H$20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Apartment!$B$3:$B$20</c:f>
              <c:numCache>
                <c:formatCode>General</c:formatCode>
                <c:ptCount val="18"/>
                <c:pt idx="0">
                  <c:v>-3.9905604641714831E-3</c:v>
                </c:pt>
                <c:pt idx="1">
                  <c:v>-4.1405802762364656E-3</c:v>
                </c:pt>
                <c:pt idx="2">
                  <c:v>-2.4778685128157558E-3</c:v>
                </c:pt>
                <c:pt idx="3">
                  <c:v>-2.6155330176706459E-3</c:v>
                </c:pt>
                <c:pt idx="4">
                  <c:v>-1.5751438680498969E-3</c:v>
                </c:pt>
                <c:pt idx="5">
                  <c:v>3.4127068497205319E-3</c:v>
                </c:pt>
                <c:pt idx="6">
                  <c:v>5.2456731113296054E-3</c:v>
                </c:pt>
                <c:pt idx="7">
                  <c:v>1.7557267557755111E-5</c:v>
                </c:pt>
                <c:pt idx="8">
                  <c:v>-3.7029379406339209E-3</c:v>
                </c:pt>
                <c:pt idx="9">
                  <c:v>3.1408621718328013E-2</c:v>
                </c:pt>
                <c:pt idx="10">
                  <c:v>1.258617116299832E-2</c:v>
                </c:pt>
                <c:pt idx="11">
                  <c:v>-1.323021304388244E-2</c:v>
                </c:pt>
                <c:pt idx="12">
                  <c:v>-3.8606073727684852E-3</c:v>
                </c:pt>
                <c:pt idx="13">
                  <c:v>-1.25576583314746E-4</c:v>
                </c:pt>
                <c:pt idx="14">
                  <c:v>-1.840547887137389E-3</c:v>
                </c:pt>
                <c:pt idx="15">
                  <c:v>-1.031042035708196E-3</c:v>
                </c:pt>
                <c:pt idx="16">
                  <c:v>-4.4514458553369376E-3</c:v>
                </c:pt>
                <c:pt idx="17">
                  <c:v>-4.3905467502790294E-3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5-4579-9470-3FC950E31678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Apartment!$H$3:$H$20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Apartment!$F$3:$F$20</c:f>
              <c:numCache>
                <c:formatCode>General</c:formatCode>
                <c:ptCount val="18"/>
                <c:pt idx="0">
                  <c:v>-1.357294008901699E-2</c:v>
                </c:pt>
                <c:pt idx="1">
                  <c:v>-1.0991020484619789E-2</c:v>
                </c:pt>
                <c:pt idx="2">
                  <c:v>-7.3886811989560836E-3</c:v>
                </c:pt>
                <c:pt idx="3">
                  <c:v>-7.0132432695249941E-3</c:v>
                </c:pt>
                <c:pt idx="4">
                  <c:v>-6.4710133694169201E-3</c:v>
                </c:pt>
                <c:pt idx="5">
                  <c:v>-2.7041333927943952E-3</c:v>
                </c:pt>
                <c:pt idx="6">
                  <c:v>-8.1192727725981489E-3</c:v>
                </c:pt>
                <c:pt idx="7">
                  <c:v>-4.4930096493689059E-3</c:v>
                </c:pt>
                <c:pt idx="8">
                  <c:v>-7.8571861650952417E-3</c:v>
                </c:pt>
                <c:pt idx="9">
                  <c:v>-1.052471677603025E-2</c:v>
                </c:pt>
                <c:pt idx="10">
                  <c:v>-8.083729728713334E-3</c:v>
                </c:pt>
                <c:pt idx="11">
                  <c:v>-3.1247816247143539E-2</c:v>
                </c:pt>
                <c:pt idx="12">
                  <c:v>-1.4929797227711121E-2</c:v>
                </c:pt>
                <c:pt idx="13">
                  <c:v>-4.7774341484033197E-3</c:v>
                </c:pt>
                <c:pt idx="14">
                  <c:v>-6.2641849555430439E-3</c:v>
                </c:pt>
                <c:pt idx="15">
                  <c:v>-5.0457601247991084E-3</c:v>
                </c:pt>
                <c:pt idx="16">
                  <c:v>-1.0199328655630171E-2</c:v>
                </c:pt>
                <c:pt idx="17">
                  <c:v>-9.9960982416521411E-3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55-4579-9470-3FC950E31678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Apartment!$H$3:$H$20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Apartment!$G$3:$G$20</c:f>
              <c:numCache>
                <c:formatCode>General</c:formatCode>
                <c:ptCount val="18"/>
                <c:pt idx="0">
                  <c:v>5.5918191606740223E-3</c:v>
                </c:pt>
                <c:pt idx="1">
                  <c:v>2.709859932146856E-3</c:v>
                </c:pt>
                <c:pt idx="2">
                  <c:v>2.432944173324572E-3</c:v>
                </c:pt>
                <c:pt idx="3">
                  <c:v>1.782177234183702E-3</c:v>
                </c:pt>
                <c:pt idx="4">
                  <c:v>3.3207256333171258E-3</c:v>
                </c:pt>
                <c:pt idx="5">
                  <c:v>9.5295470922354582E-3</c:v>
                </c:pt>
                <c:pt idx="6">
                  <c:v>1.8610618995257362E-2</c:v>
                </c:pt>
                <c:pt idx="7">
                  <c:v>4.5281241844844161E-3</c:v>
                </c:pt>
                <c:pt idx="8">
                  <c:v>4.5131028382739899E-4</c:v>
                </c:pt>
                <c:pt idx="9">
                  <c:v>7.3341960212686269E-2</c:v>
                </c:pt>
                <c:pt idx="10">
                  <c:v>3.325607205470997E-2</c:v>
                </c:pt>
                <c:pt idx="11">
                  <c:v>4.7873901593786516E-3</c:v>
                </c:pt>
                <c:pt idx="12">
                  <c:v>7.2085824821741494E-3</c:v>
                </c:pt>
                <c:pt idx="13">
                  <c:v>4.5262809817738277E-3</c:v>
                </c:pt>
                <c:pt idx="14">
                  <c:v>2.5830891812682649E-3</c:v>
                </c:pt>
                <c:pt idx="15">
                  <c:v>2.983676053382716E-3</c:v>
                </c:pt>
                <c:pt idx="16">
                  <c:v>1.296436944956297E-3</c:v>
                </c:pt>
                <c:pt idx="17">
                  <c:v>1.2150047410940841E-3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55-4579-9470-3FC950E31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5028896"/>
        <c:axId val="1375027936"/>
      </c:lineChart>
      <c:catAx>
        <c:axId val="137502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27936"/>
        <c:crosses val="autoZero"/>
        <c:auto val="1"/>
        <c:lblAlgn val="ctr"/>
        <c:lblOffset val="100"/>
        <c:noMultiLvlLbl val="0"/>
      </c:catAx>
      <c:valAx>
        <c:axId val="137502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28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'Low-Rise Multi-Unit Housing'!$H$3:$H$20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'Low-Rise Multi-Unit Housing'!$B$3:$B$20</c:f>
              <c:numCache>
                <c:formatCode>General</c:formatCode>
                <c:ptCount val="18"/>
                <c:pt idx="0">
                  <c:v>7.3314227375472357E-3</c:v>
                </c:pt>
                <c:pt idx="1">
                  <c:v>6.8261167585922794E-3</c:v>
                </c:pt>
                <c:pt idx="2">
                  <c:v>6.7791528354881484E-3</c:v>
                </c:pt>
                <c:pt idx="3">
                  <c:v>5.3604973695031066E-3</c:v>
                </c:pt>
                <c:pt idx="4">
                  <c:v>9.7769709432160012E-3</c:v>
                </c:pt>
                <c:pt idx="5">
                  <c:v>8.6413108049633244E-3</c:v>
                </c:pt>
                <c:pt idx="6">
                  <c:v>9.8511291543039448E-4</c:v>
                </c:pt>
                <c:pt idx="7">
                  <c:v>2.9354069856116489E-3</c:v>
                </c:pt>
                <c:pt idx="8">
                  <c:v>7.2881691278494504E-3</c:v>
                </c:pt>
                <c:pt idx="9">
                  <c:v>-2.1837882553639051E-2</c:v>
                </c:pt>
                <c:pt idx="10">
                  <c:v>2.3957314312022669E-3</c:v>
                </c:pt>
                <c:pt idx="11">
                  <c:v>-3.1078624423292729E-3</c:v>
                </c:pt>
                <c:pt idx="12">
                  <c:v>1.0996626082112051E-3</c:v>
                </c:pt>
                <c:pt idx="13">
                  <c:v>1.590391981958775E-3</c:v>
                </c:pt>
                <c:pt idx="14">
                  <c:v>1.610830547688513E-3</c:v>
                </c:pt>
                <c:pt idx="15">
                  <c:v>2.354717404798395E-3</c:v>
                </c:pt>
                <c:pt idx="16">
                  <c:v>8.3220939487459178E-4</c:v>
                </c:pt>
                <c:pt idx="17">
                  <c:v>1.574104123747463E-3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92-462F-84FC-E0D7806AC5F9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'Low-Rise Multi-Unit Housing'!$H$3:$H$20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'Low-Rise Multi-Unit Housing'!$F$3:$F$20</c:f>
              <c:numCache>
                <c:formatCode>General</c:formatCode>
                <c:ptCount val="18"/>
                <c:pt idx="0">
                  <c:v>-3.16690459422083E-3</c:v>
                </c:pt>
                <c:pt idx="1">
                  <c:v>-4.5009186641444456E-3</c:v>
                </c:pt>
                <c:pt idx="2">
                  <c:v>-5.5326666588312728E-3</c:v>
                </c:pt>
                <c:pt idx="3">
                  <c:v>-7.1931844271348137E-3</c:v>
                </c:pt>
                <c:pt idx="4">
                  <c:v>-7.1290935359476643E-3</c:v>
                </c:pt>
                <c:pt idx="5">
                  <c:v>-6.1408572470341219E-3</c:v>
                </c:pt>
                <c:pt idx="6">
                  <c:v>-1.795347575087404E-2</c:v>
                </c:pt>
                <c:pt idx="7">
                  <c:v>-3.287150747787947E-3</c:v>
                </c:pt>
                <c:pt idx="8">
                  <c:v>-9.0219597880040608E-3</c:v>
                </c:pt>
                <c:pt idx="9">
                  <c:v>-5.5141331698837177E-2</c:v>
                </c:pt>
                <c:pt idx="10">
                  <c:v>-3.850599959671323E-3</c:v>
                </c:pt>
                <c:pt idx="11">
                  <c:v>-8.6382474387660738E-3</c:v>
                </c:pt>
                <c:pt idx="12">
                  <c:v>-4.3099845352098454E-3</c:v>
                </c:pt>
                <c:pt idx="13">
                  <c:v>-4.2595260266797396E-3</c:v>
                </c:pt>
                <c:pt idx="14">
                  <c:v>-4.1811613770221046E-3</c:v>
                </c:pt>
                <c:pt idx="15">
                  <c:v>-3.726435760152442E-3</c:v>
                </c:pt>
                <c:pt idx="16">
                  <c:v>-5.4867639617025227E-3</c:v>
                </c:pt>
                <c:pt idx="17">
                  <c:v>-4.3846528487782397E-3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92-462F-84FC-E0D7806AC5F9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'Low-Rise Multi-Unit Housing'!$H$3:$H$20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'Low-Rise Multi-Unit Housing'!$G$3:$G$20</c:f>
              <c:numCache>
                <c:formatCode>General</c:formatCode>
                <c:ptCount val="18"/>
                <c:pt idx="0">
                  <c:v>1.7829750069315298E-2</c:v>
                </c:pt>
                <c:pt idx="1">
                  <c:v>1.815315218132901E-2</c:v>
                </c:pt>
                <c:pt idx="2">
                  <c:v>1.9090972329807571E-2</c:v>
                </c:pt>
                <c:pt idx="3">
                  <c:v>1.791417916614103E-2</c:v>
                </c:pt>
                <c:pt idx="4">
                  <c:v>2.668303542237967E-2</c:v>
                </c:pt>
                <c:pt idx="5">
                  <c:v>2.3423478856960771E-2</c:v>
                </c:pt>
                <c:pt idx="6">
                  <c:v>1.9923701581734829E-2</c:v>
                </c:pt>
                <c:pt idx="7">
                  <c:v>9.1579647190112457E-3</c:v>
                </c:pt>
                <c:pt idx="8">
                  <c:v>2.3598298043702962E-2</c:v>
                </c:pt>
                <c:pt idx="9">
                  <c:v>1.1465566591559079E-2</c:v>
                </c:pt>
                <c:pt idx="10">
                  <c:v>8.642062822075856E-3</c:v>
                </c:pt>
                <c:pt idx="11">
                  <c:v>2.4225225541075271E-3</c:v>
                </c:pt>
                <c:pt idx="12">
                  <c:v>6.5093097516322543E-3</c:v>
                </c:pt>
                <c:pt idx="13">
                  <c:v>7.4403099905972899E-3</c:v>
                </c:pt>
                <c:pt idx="14">
                  <c:v>7.4028224723991318E-3</c:v>
                </c:pt>
                <c:pt idx="15">
                  <c:v>8.435870569749232E-3</c:v>
                </c:pt>
                <c:pt idx="16">
                  <c:v>7.1511827514517063E-3</c:v>
                </c:pt>
                <c:pt idx="17">
                  <c:v>7.5328610962731666E-3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92-462F-84FC-E0D7806AC5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5030816"/>
        <c:axId val="1375047616"/>
      </c:lineChart>
      <c:catAx>
        <c:axId val="137503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47616"/>
        <c:crosses val="autoZero"/>
        <c:auto val="1"/>
        <c:lblAlgn val="ctr"/>
        <c:lblOffset val="100"/>
        <c:noMultiLvlLbl val="0"/>
      </c:catAx>
      <c:valAx>
        <c:axId val="137504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3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OLS Point Estimate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'Single-Family House'!$H$3:$H$20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'Single-Family House'!$B$3:$B$20</c:f>
              <c:numCache>
                <c:formatCode>General</c:formatCode>
                <c:ptCount val="18"/>
                <c:pt idx="0">
                  <c:v>6.032841628165142E-3</c:v>
                </c:pt>
                <c:pt idx="1">
                  <c:v>8.4376926396964036E-3</c:v>
                </c:pt>
                <c:pt idx="2">
                  <c:v>9.9093820679684724E-3</c:v>
                </c:pt>
                <c:pt idx="3">
                  <c:v>1.072605886748736E-2</c:v>
                </c:pt>
                <c:pt idx="4">
                  <c:v>9.4666120318123992E-3</c:v>
                </c:pt>
                <c:pt idx="5">
                  <c:v>1.4212592795691471E-2</c:v>
                </c:pt>
                <c:pt idx="6">
                  <c:v>1.7541769754266221E-2</c:v>
                </c:pt>
                <c:pt idx="7">
                  <c:v>1.4371227408967119E-2</c:v>
                </c:pt>
                <c:pt idx="8">
                  <c:v>1.493260141164165E-2</c:v>
                </c:pt>
                <c:pt idx="9">
                  <c:v>-1.5153174843655639E-3</c:v>
                </c:pt>
                <c:pt idx="10">
                  <c:v>5.5620699947492303E-3</c:v>
                </c:pt>
                <c:pt idx="11">
                  <c:v>-1.778957610479553E-3</c:v>
                </c:pt>
                <c:pt idx="12">
                  <c:v>7.5522941676666733E-3</c:v>
                </c:pt>
                <c:pt idx="13">
                  <c:v>1.1736900104680439E-2</c:v>
                </c:pt>
                <c:pt idx="14">
                  <c:v>1.127486414339582E-2</c:v>
                </c:pt>
                <c:pt idx="15">
                  <c:v>1.138085245380221E-2</c:v>
                </c:pt>
                <c:pt idx="16">
                  <c:v>1.3253649106338311E-2</c:v>
                </c:pt>
                <c:pt idx="17">
                  <c:v>1.2769592843210159E-2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8F-42D1-996D-E74CA3EC6C49}"/>
            </c:ext>
          </c:extLst>
        </c:ser>
        <c:ser>
          <c:idx val="1"/>
          <c:order val="1"/>
          <c:tx>
            <c:v>95% CI -- lower</c:v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'Single-Family House'!$H$3:$H$20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'Single-Family House'!$F$3:$F$20</c:f>
              <c:numCache>
                <c:formatCode>General</c:formatCode>
                <c:ptCount val="18"/>
                <c:pt idx="0">
                  <c:v>-8.4806255117670839E-3</c:v>
                </c:pt>
                <c:pt idx="1">
                  <c:v>-5.0466082796257021E-3</c:v>
                </c:pt>
                <c:pt idx="2">
                  <c:v>-3.2653505670956831E-3</c:v>
                </c:pt>
                <c:pt idx="3">
                  <c:v>-2.608893299573839E-3</c:v>
                </c:pt>
                <c:pt idx="4">
                  <c:v>-3.8393510123738502E-3</c:v>
                </c:pt>
                <c:pt idx="5">
                  <c:v>6.2014534601866761E-4</c:v>
                </c:pt>
                <c:pt idx="6">
                  <c:v>2.7591965938159788E-3</c:v>
                </c:pt>
                <c:pt idx="7">
                  <c:v>-2.562727965877469E-3</c:v>
                </c:pt>
                <c:pt idx="8">
                  <c:v>9.2914122907600434E-4</c:v>
                </c:pt>
                <c:pt idx="9">
                  <c:v>-5.5559946951141227E-2</c:v>
                </c:pt>
                <c:pt idx="10">
                  <c:v>-1.5287300207563701E-2</c:v>
                </c:pt>
                <c:pt idx="11">
                  <c:v>-1.7247161937447419E-2</c:v>
                </c:pt>
                <c:pt idx="12">
                  <c:v>-5.4508790537102694E-3</c:v>
                </c:pt>
                <c:pt idx="13">
                  <c:v>-1.885542295153302E-3</c:v>
                </c:pt>
                <c:pt idx="14">
                  <c:v>-2.9052040729716671E-3</c:v>
                </c:pt>
                <c:pt idx="15">
                  <c:v>-1.416870137168867E-3</c:v>
                </c:pt>
                <c:pt idx="16">
                  <c:v>-1.512532798926713E-3</c:v>
                </c:pt>
                <c:pt idx="17">
                  <c:v>-1.803288800913256E-3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8F-42D1-996D-E74CA3EC6C49}"/>
            </c:ext>
          </c:extLst>
        </c:ser>
        <c:ser>
          <c:idx val="2"/>
          <c:order val="2"/>
          <c:tx>
            <c:v>95% CI -- upper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'Single-Family House'!$H$3:$H$20</c:f>
              <c:numCache>
                <c:formatCode>General</c:formatCode>
                <c:ptCount val="18"/>
                <c:pt idx="0">
                  <c:v>-6</c:v>
                </c:pt>
                <c:pt idx="1">
                  <c:v>-5</c:v>
                </c:pt>
                <c:pt idx="2">
                  <c:v>-4</c:v>
                </c:pt>
                <c:pt idx="3">
                  <c:v>-3</c:v>
                </c:pt>
                <c:pt idx="4">
                  <c:v>-2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</c:numCache>
            </c:numRef>
          </c:cat>
          <c:val>
            <c:numRef>
              <c:f>'Single-Family House'!$G$3:$G$20</c:f>
              <c:numCache>
                <c:formatCode>General</c:formatCode>
                <c:ptCount val="18"/>
                <c:pt idx="0">
                  <c:v>2.054630876809737E-2</c:v>
                </c:pt>
                <c:pt idx="1">
                  <c:v>2.1921993559018509E-2</c:v>
                </c:pt>
                <c:pt idx="2">
                  <c:v>2.3084114703032631E-2</c:v>
                </c:pt>
                <c:pt idx="3">
                  <c:v>2.4061011034548552E-2</c:v>
                </c:pt>
                <c:pt idx="4">
                  <c:v>2.2772575075998652E-2</c:v>
                </c:pt>
                <c:pt idx="5">
                  <c:v>2.780504024536427E-2</c:v>
                </c:pt>
                <c:pt idx="6">
                  <c:v>3.2324342914716447E-2</c:v>
                </c:pt>
                <c:pt idx="7">
                  <c:v>3.1305182783811718E-2</c:v>
                </c:pt>
                <c:pt idx="8">
                  <c:v>2.8936061594207311E-2</c:v>
                </c:pt>
                <c:pt idx="9">
                  <c:v>5.25293119824101E-2</c:v>
                </c:pt>
                <c:pt idx="10">
                  <c:v>2.641144019706216E-2</c:v>
                </c:pt>
                <c:pt idx="11">
                  <c:v>1.368924671648831E-2</c:v>
                </c:pt>
                <c:pt idx="12">
                  <c:v>2.0555467389043621E-2</c:v>
                </c:pt>
                <c:pt idx="13">
                  <c:v>2.535934250451418E-2</c:v>
                </c:pt>
                <c:pt idx="14">
                  <c:v>2.5454932359763299E-2</c:v>
                </c:pt>
                <c:pt idx="15">
                  <c:v>2.41785750447733E-2</c:v>
                </c:pt>
                <c:pt idx="16">
                  <c:v>2.8019831011603321E-2</c:v>
                </c:pt>
                <c:pt idx="17">
                  <c:v>2.7342474487333589E-2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08F-42D1-996D-E74CA3EC6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5038496"/>
        <c:axId val="1375046176"/>
      </c:lineChart>
      <c:catAx>
        <c:axId val="137503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46176"/>
        <c:crosses val="autoZero"/>
        <c:auto val="1"/>
        <c:lblAlgn val="ctr"/>
        <c:lblOffset val="100"/>
        <c:noMultiLvlLbl val="0"/>
      </c:catAx>
      <c:valAx>
        <c:axId val="137504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503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130175</xdr:colOff>
      <xdr:row>10</xdr:row>
      <xdr:rowOff>95250</xdr:rowOff>
    </xdr:from>
    <xdr:to>
      <xdr:col>16</xdr:col>
      <xdr:colOff>434975</xdr:colOff>
      <xdr:row>25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FD190D-F0D6-41CA-2835-64F57B9AA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365125</xdr:colOff>
      <xdr:row>4</xdr:row>
      <xdr:rowOff>95250</xdr:rowOff>
    </xdr:from>
    <xdr:to>
      <xdr:col>16</xdr:col>
      <xdr:colOff>60325</xdr:colOff>
      <xdr:row>19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7ED689-4648-B29B-11B4-B747B12CCA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9525</xdr:colOff>
      <xdr:row>6</xdr:row>
      <xdr:rowOff>69850</xdr:rowOff>
    </xdr:from>
    <xdr:to>
      <xdr:col>16</xdr:col>
      <xdr:colOff>314325</xdr:colOff>
      <xdr:row>21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40BD0-4647-19AB-9519-69B773BB2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149225</xdr:colOff>
      <xdr:row>4</xdr:row>
      <xdr:rowOff>101600</xdr:rowOff>
    </xdr:from>
    <xdr:to>
      <xdr:col>16</xdr:col>
      <xdr:colOff>454025</xdr:colOff>
      <xdr:row>19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2383E5-208A-73E2-4DBE-87E1C3E76E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zoomScale="98" workbookViewId="0">
      <selection activeCell="R28" sqref="R28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9.9551630605241928E-3</v>
      </c>
      <c r="C2">
        <v>1.3662639787517991E-2</v>
      </c>
      <c r="D2">
        <v>0.72864125932816437</v>
      </c>
      <c r="E2">
        <v>0.46622113316384128</v>
      </c>
      <c r="F2">
        <v>-1.682311885675505E-2</v>
      </c>
      <c r="G2">
        <v>3.6733444977803432E-2</v>
      </c>
    </row>
    <row r="3" spans="1:8" x14ac:dyDescent="0.35">
      <c r="A3" s="1" t="s">
        <v>7</v>
      </c>
      <c r="B3">
        <v>1.7763194432534189E-3</v>
      </c>
      <c r="C3">
        <v>5.2373248182886138E-3</v>
      </c>
      <c r="D3">
        <v>0.33916541457397359</v>
      </c>
      <c r="E3">
        <v>0.73448512189061654</v>
      </c>
      <c r="F3">
        <v>-8.4886485759300481E-3</v>
      </c>
      <c r="G3">
        <v>1.204128746243689E-2</v>
      </c>
      <c r="H3">
        <f>VALUE(_xlfn.TEXTAFTER(A3,"_"))</f>
        <v>-6</v>
      </c>
    </row>
    <row r="4" spans="1:8" x14ac:dyDescent="0.35">
      <c r="A4" s="1" t="s">
        <v>8</v>
      </c>
      <c r="B4">
        <v>1.92405804597854E-3</v>
      </c>
      <c r="C4">
        <v>3.97325501836271E-3</v>
      </c>
      <c r="D4">
        <v>0.48425234148987528</v>
      </c>
      <c r="E4">
        <v>0.62820679445313909</v>
      </c>
      <c r="F4">
        <v>-5.8633786914054032E-3</v>
      </c>
      <c r="G4">
        <v>9.7114947833624836E-3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2.660778030934223E-3</v>
      </c>
      <c r="C5">
        <v>3.5860696294553311E-3</v>
      </c>
      <c r="D5">
        <v>0.74197612034051741</v>
      </c>
      <c r="E5">
        <v>0.4581018039280822</v>
      </c>
      <c r="F5">
        <v>-4.3677892888511222E-3</v>
      </c>
      <c r="G5">
        <v>9.6893453507195682E-3</v>
      </c>
      <c r="H5">
        <f t="shared" si="0"/>
        <v>-4</v>
      </c>
    </row>
    <row r="6" spans="1:8" x14ac:dyDescent="0.35">
      <c r="A6" s="1" t="s">
        <v>10</v>
      </c>
      <c r="B6">
        <v>3.248024905077931E-3</v>
      </c>
      <c r="C6">
        <v>3.300077333549375E-3</v>
      </c>
      <c r="D6">
        <v>0.98422690645995903</v>
      </c>
      <c r="E6">
        <v>0.32500395911514368</v>
      </c>
      <c r="F6">
        <v>-3.220007814875817E-3</v>
      </c>
      <c r="G6">
        <v>9.7160576250316794E-3</v>
      </c>
      <c r="H6">
        <f t="shared" si="0"/>
        <v>-3</v>
      </c>
    </row>
    <row r="7" spans="1:8" x14ac:dyDescent="0.35">
      <c r="A7" s="1" t="s">
        <v>11</v>
      </c>
      <c r="B7">
        <v>3.135362357840607E-3</v>
      </c>
      <c r="C7">
        <v>3.8307693880177168E-3</v>
      </c>
      <c r="D7">
        <v>0.81846805178294546</v>
      </c>
      <c r="E7">
        <v>0.41308997747423498</v>
      </c>
      <c r="F7">
        <v>-4.3728076757526624E-3</v>
      </c>
      <c r="G7">
        <v>1.0643532391433881E-2</v>
      </c>
      <c r="H7">
        <f t="shared" si="0"/>
        <v>-2</v>
      </c>
    </row>
    <row r="8" spans="1:8" x14ac:dyDescent="0.35">
      <c r="A8" s="1" t="s">
        <v>12</v>
      </c>
      <c r="B8">
        <v>7.5978850087212576E-3</v>
      </c>
      <c r="C8">
        <v>2.769252703464703E-3</v>
      </c>
      <c r="D8">
        <v>2.7436589659063242</v>
      </c>
      <c r="E8">
        <v>6.0758622482508136E-3</v>
      </c>
      <c r="F8">
        <v>2.1702494458402631E-3</v>
      </c>
      <c r="G8">
        <v>1.302552057160225E-2</v>
      </c>
      <c r="H8">
        <f t="shared" si="0"/>
        <v>0</v>
      </c>
    </row>
    <row r="9" spans="1:8" x14ac:dyDescent="0.35">
      <c r="A9" s="1" t="s">
        <v>13</v>
      </c>
      <c r="B9">
        <v>4.0551746995712984E-3</v>
      </c>
      <c r="C9">
        <v>2.832826250410527E-3</v>
      </c>
      <c r="D9">
        <v>1.4314943244343461</v>
      </c>
      <c r="E9">
        <v>0.15228859243241691</v>
      </c>
      <c r="F9">
        <v>-1.497062725692979E-3</v>
      </c>
      <c r="G9">
        <v>9.6074121248355751E-3</v>
      </c>
      <c r="H9">
        <f t="shared" si="0"/>
        <v>1</v>
      </c>
    </row>
    <row r="10" spans="1:8" x14ac:dyDescent="0.35">
      <c r="A10" s="1" t="s">
        <v>14</v>
      </c>
      <c r="B10">
        <v>5.5006374770258937E-3</v>
      </c>
      <c r="C10">
        <v>3.328905792295677E-3</v>
      </c>
      <c r="D10">
        <v>1.6523860452153409</v>
      </c>
      <c r="E10">
        <v>9.845587845782483E-2</v>
      </c>
      <c r="F10">
        <v>-1.0238979838004059E-3</v>
      </c>
      <c r="G10">
        <v>1.2025172937852191E-2</v>
      </c>
      <c r="H10">
        <f t="shared" si="0"/>
        <v>2</v>
      </c>
    </row>
    <row r="11" spans="1:8" x14ac:dyDescent="0.35">
      <c r="A11" s="1" t="s">
        <v>15</v>
      </c>
      <c r="B11">
        <v>2.9436682961950789E-3</v>
      </c>
      <c r="C11">
        <v>2.9643260582152111E-3</v>
      </c>
      <c r="D11">
        <v>0.99303121127215999</v>
      </c>
      <c r="E11">
        <v>0.32069474455287911</v>
      </c>
      <c r="F11">
        <v>-2.8663040163403189E-3</v>
      </c>
      <c r="G11">
        <v>8.7536406087304758E-3</v>
      </c>
      <c r="H11">
        <f t="shared" si="0"/>
        <v>3</v>
      </c>
    </row>
    <row r="12" spans="1:8" x14ac:dyDescent="0.35">
      <c r="A12" s="1" t="s">
        <v>16</v>
      </c>
      <c r="B12">
        <v>9.3327498300428691E-3</v>
      </c>
      <c r="C12">
        <v>1.8507016242941592E-2</v>
      </c>
      <c r="D12">
        <v>0.5042817117320193</v>
      </c>
      <c r="E12">
        <v>0.61406342708388206</v>
      </c>
      <c r="F12">
        <v>-2.6940335467420421E-2</v>
      </c>
      <c r="G12">
        <v>4.5605835127506163E-2</v>
      </c>
      <c r="H12">
        <f t="shared" si="0"/>
        <v>4</v>
      </c>
    </row>
    <row r="13" spans="1:8" x14ac:dyDescent="0.35">
      <c r="A13" s="1" t="s">
        <v>17</v>
      </c>
      <c r="B13">
        <v>9.1893735175041513E-3</v>
      </c>
      <c r="C13">
        <v>7.6022903969374259E-3</v>
      </c>
      <c r="D13">
        <v>1.208763811654193</v>
      </c>
      <c r="E13">
        <v>0.2267535982824429</v>
      </c>
      <c r="F13">
        <v>-5.7108418605079144E-3</v>
      </c>
      <c r="G13">
        <v>2.4089588895516219E-2</v>
      </c>
      <c r="H13">
        <f t="shared" si="0"/>
        <v>5</v>
      </c>
    </row>
    <row r="14" spans="1:8" x14ac:dyDescent="0.35">
      <c r="A14" s="1" t="s">
        <v>18</v>
      </c>
      <c r="B14">
        <v>-6.3797080666784939E-3</v>
      </c>
      <c r="C14">
        <v>4.2983312416624061E-3</v>
      </c>
      <c r="D14">
        <v>-1.4842290433184719</v>
      </c>
      <c r="E14">
        <v>0.13774816726425501</v>
      </c>
      <c r="F14">
        <v>-1.480428249396014E-2</v>
      </c>
      <c r="G14">
        <v>2.0448663606031539E-3</v>
      </c>
      <c r="H14">
        <f t="shared" si="0"/>
        <v>6</v>
      </c>
    </row>
    <row r="15" spans="1:8" x14ac:dyDescent="0.35">
      <c r="A15" s="1" t="s">
        <v>19</v>
      </c>
      <c r="B15">
        <v>6.4531799014029556E-4</v>
      </c>
      <c r="C15">
        <v>3.6705310970014302E-3</v>
      </c>
      <c r="D15">
        <v>0.17581052253377599</v>
      </c>
      <c r="E15">
        <v>0.86044280261850736</v>
      </c>
      <c r="F15">
        <v>-6.5487907641168016E-3</v>
      </c>
      <c r="G15">
        <v>7.8394267443973945E-3</v>
      </c>
      <c r="H15">
        <f t="shared" si="0"/>
        <v>7</v>
      </c>
    </row>
    <row r="16" spans="1:8" x14ac:dyDescent="0.35">
      <c r="A16" s="1" t="s">
        <v>20</v>
      </c>
      <c r="B16">
        <v>4.0813231550054091E-3</v>
      </c>
      <c r="C16">
        <v>3.6368990387296439E-3</v>
      </c>
      <c r="D16">
        <v>1.1221986399795689</v>
      </c>
      <c r="E16">
        <v>0.26177799078123332</v>
      </c>
      <c r="F16">
        <v>-3.046867976313036E-3</v>
      </c>
      <c r="G16">
        <v>1.120951428632385E-2</v>
      </c>
      <c r="H16">
        <f t="shared" si="0"/>
        <v>8</v>
      </c>
    </row>
    <row r="17" spans="1:8" x14ac:dyDescent="0.35">
      <c r="A17" s="1" t="s">
        <v>21</v>
      </c>
      <c r="B17">
        <v>2.8505618449091719E-3</v>
      </c>
      <c r="C17">
        <v>3.4032920695739252E-3</v>
      </c>
      <c r="D17">
        <v>0.83758954172453615</v>
      </c>
      <c r="E17">
        <v>0.40226126851442279</v>
      </c>
      <c r="F17">
        <v>-3.819768040326505E-3</v>
      </c>
      <c r="G17">
        <v>9.5208917301448474E-3</v>
      </c>
      <c r="H17">
        <f t="shared" si="0"/>
        <v>9</v>
      </c>
    </row>
    <row r="18" spans="1:8" x14ac:dyDescent="0.35">
      <c r="A18" s="1" t="s">
        <v>22</v>
      </c>
      <c r="B18">
        <v>3.9668080992002058E-3</v>
      </c>
      <c r="C18">
        <v>3.6709723615703828E-3</v>
      </c>
      <c r="D18">
        <v>1.0805878411743941</v>
      </c>
      <c r="E18">
        <v>0.27988049348133942</v>
      </c>
      <c r="F18">
        <v>-3.2281655177196929E-3</v>
      </c>
      <c r="G18">
        <v>1.116178171612011E-2</v>
      </c>
      <c r="H18">
        <f t="shared" si="0"/>
        <v>10</v>
      </c>
    </row>
    <row r="19" spans="1:8" x14ac:dyDescent="0.35">
      <c r="A19" s="1" t="s">
        <v>23</v>
      </c>
      <c r="B19">
        <v>6.454151646594769E-4</v>
      </c>
      <c r="C19">
        <v>3.0646180847686759E-3</v>
      </c>
      <c r="D19">
        <v>0.21060215230968801</v>
      </c>
      <c r="E19">
        <v>0.83319773268075525</v>
      </c>
      <c r="F19">
        <v>-5.3611259078572464E-3</v>
      </c>
      <c r="G19">
        <v>6.6519562371762002E-3</v>
      </c>
      <c r="H19">
        <f t="shared" si="0"/>
        <v>11</v>
      </c>
    </row>
    <row r="20" spans="1:8" x14ac:dyDescent="0.35">
      <c r="A20" s="1" t="s">
        <v>24</v>
      </c>
      <c r="B20">
        <v>2.0052375797639239E-3</v>
      </c>
      <c r="C20">
        <v>3.0728167661099718E-3</v>
      </c>
      <c r="D20">
        <v>0.65257310552312942</v>
      </c>
      <c r="E20">
        <v>0.51403152867710222</v>
      </c>
      <c r="F20">
        <v>-4.0173726129024614E-3</v>
      </c>
      <c r="G20">
        <v>8.0278477724303084E-3</v>
      </c>
      <c r="H20">
        <f t="shared" si="0"/>
        <v>12</v>
      </c>
    </row>
    <row r="21" spans="1:8" x14ac:dyDescent="0.35">
      <c r="A21" s="1" t="s">
        <v>25</v>
      </c>
      <c r="B21">
        <v>0.63526082396039074</v>
      </c>
      <c r="C21">
        <v>0.1025473305900703</v>
      </c>
      <c r="D21">
        <v>6.1948060500943312</v>
      </c>
      <c r="E21">
        <v>5.8356844062799279E-10</v>
      </c>
      <c r="F21">
        <v>0.43427174929313039</v>
      </c>
      <c r="G21">
        <v>0.83624989862765098</v>
      </c>
    </row>
    <row r="22" spans="1:8" x14ac:dyDescent="0.35">
      <c r="A22" s="1" t="s">
        <v>26</v>
      </c>
      <c r="B22">
        <v>0.34006420712551</v>
      </c>
      <c r="C22">
        <v>0.10754522896031821</v>
      </c>
      <c r="D22">
        <v>3.162057586496803</v>
      </c>
      <c r="E22">
        <v>1.5665858087019521E-3</v>
      </c>
      <c r="F22">
        <v>0.12927943165417219</v>
      </c>
      <c r="G22">
        <v>0.55084898259684778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zoomScale="104" workbookViewId="0">
      <selection activeCell="R11" sqref="R11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1.710370914977169E-2</v>
      </c>
      <c r="C2">
        <v>9.0208295326111819E-3</v>
      </c>
      <c r="D2">
        <v>1.896023984040504</v>
      </c>
      <c r="E2">
        <v>5.7956873146974681E-2</v>
      </c>
      <c r="F2">
        <v>-5.7679184482151494E-4</v>
      </c>
      <c r="G2">
        <v>3.4784210144364891E-2</v>
      </c>
    </row>
    <row r="3" spans="1:8" x14ac:dyDescent="0.35">
      <c r="A3" s="1" t="s">
        <v>7</v>
      </c>
      <c r="B3">
        <v>-3.9905604641714831E-3</v>
      </c>
      <c r="C3">
        <v>4.8890590339567943E-3</v>
      </c>
      <c r="D3">
        <v>-0.81622259752954107</v>
      </c>
      <c r="E3">
        <v>0.41437283461101559</v>
      </c>
      <c r="F3">
        <v>-1.357294008901699E-2</v>
      </c>
      <c r="G3">
        <v>5.5918191606740223E-3</v>
      </c>
      <c r="H3">
        <f>VALUE(_xlfn.TEXTAFTER(A3,"_"))</f>
        <v>-6</v>
      </c>
    </row>
    <row r="4" spans="1:8" x14ac:dyDescent="0.35">
      <c r="A4" s="1" t="s">
        <v>8</v>
      </c>
      <c r="B4">
        <v>-4.1405802762364656E-3</v>
      </c>
      <c r="C4">
        <v>3.4951867801749021E-3</v>
      </c>
      <c r="D4">
        <v>-1.1846520763131489</v>
      </c>
      <c r="E4">
        <v>0.23615503789758291</v>
      </c>
      <c r="F4">
        <v>-1.0991020484619789E-2</v>
      </c>
      <c r="G4">
        <v>2.709859932146856E-3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-2.4778685128157558E-3</v>
      </c>
      <c r="C5">
        <v>2.5055627169051019E-3</v>
      </c>
      <c r="D5">
        <v>-0.98894691244306421</v>
      </c>
      <c r="E5">
        <v>0.32268911621188312</v>
      </c>
      <c r="F5">
        <v>-7.3886811989560836E-3</v>
      </c>
      <c r="G5">
        <v>2.432944173324572E-3</v>
      </c>
      <c r="H5">
        <f t="shared" si="0"/>
        <v>-4</v>
      </c>
    </row>
    <row r="6" spans="1:8" x14ac:dyDescent="0.35">
      <c r="A6" s="1" t="s">
        <v>10</v>
      </c>
      <c r="B6">
        <v>-2.6155330176706459E-3</v>
      </c>
      <c r="C6">
        <v>2.243770950151598E-3</v>
      </c>
      <c r="D6">
        <v>-1.165686282503092</v>
      </c>
      <c r="E6">
        <v>0.24374130830667989</v>
      </c>
      <c r="F6">
        <v>-7.0132432695249941E-3</v>
      </c>
      <c r="G6">
        <v>1.782177234183702E-3</v>
      </c>
      <c r="H6">
        <f t="shared" si="0"/>
        <v>-3</v>
      </c>
    </row>
    <row r="7" spans="1:8" x14ac:dyDescent="0.35">
      <c r="A7" s="1" t="s">
        <v>11</v>
      </c>
      <c r="B7">
        <v>-1.5751438680498969E-3</v>
      </c>
      <c r="C7">
        <v>2.4979385029444512E-3</v>
      </c>
      <c r="D7">
        <v>-0.63057752070084694</v>
      </c>
      <c r="E7">
        <v>0.52831680085019417</v>
      </c>
      <c r="F7">
        <v>-6.4710133694169201E-3</v>
      </c>
      <c r="G7">
        <v>3.3207256333171258E-3</v>
      </c>
      <c r="H7">
        <f t="shared" si="0"/>
        <v>-2</v>
      </c>
    </row>
    <row r="8" spans="1:8" x14ac:dyDescent="0.35">
      <c r="A8" s="1" t="s">
        <v>12</v>
      </c>
      <c r="B8">
        <v>3.4127068497205319E-3</v>
      </c>
      <c r="C8">
        <v>3.1208942055893792E-3</v>
      </c>
      <c r="D8">
        <v>1.0935028952947301</v>
      </c>
      <c r="E8">
        <v>0.27417305848246309</v>
      </c>
      <c r="F8">
        <v>-2.7041333927943952E-3</v>
      </c>
      <c r="G8">
        <v>9.5295470922354582E-3</v>
      </c>
      <c r="H8">
        <f t="shared" si="0"/>
        <v>0</v>
      </c>
    </row>
    <row r="9" spans="1:8" x14ac:dyDescent="0.35">
      <c r="A9" s="1" t="s">
        <v>13</v>
      </c>
      <c r="B9">
        <v>5.2456731113296054E-3</v>
      </c>
      <c r="C9">
        <v>6.8189752410497042E-3</v>
      </c>
      <c r="D9">
        <v>0.76927587003851516</v>
      </c>
      <c r="E9">
        <v>0.44172955872025199</v>
      </c>
      <c r="F9">
        <v>-8.1192727725981489E-3</v>
      </c>
      <c r="G9">
        <v>1.8610618995257362E-2</v>
      </c>
      <c r="H9">
        <f t="shared" si="0"/>
        <v>1</v>
      </c>
    </row>
    <row r="10" spans="1:8" x14ac:dyDescent="0.35">
      <c r="A10" s="1" t="s">
        <v>14</v>
      </c>
      <c r="B10">
        <v>1.7557267557755111E-5</v>
      </c>
      <c r="C10">
        <v>2.3013519393751299E-3</v>
      </c>
      <c r="D10">
        <v>7.6291102014246059E-3</v>
      </c>
      <c r="E10">
        <v>0.99391290980582248</v>
      </c>
      <c r="F10">
        <v>-4.4930096493689059E-3</v>
      </c>
      <c r="G10">
        <v>4.5281241844844161E-3</v>
      </c>
      <c r="H10">
        <f t="shared" si="0"/>
        <v>2</v>
      </c>
    </row>
    <row r="11" spans="1:8" x14ac:dyDescent="0.35">
      <c r="A11" s="1" t="s">
        <v>15</v>
      </c>
      <c r="B11">
        <v>-3.7029379406339209E-3</v>
      </c>
      <c r="C11">
        <v>2.1195533475255159E-3</v>
      </c>
      <c r="D11">
        <v>-1.7470369146202129</v>
      </c>
      <c r="E11">
        <v>8.0630935026990272E-2</v>
      </c>
      <c r="F11">
        <v>-7.8571861650952417E-3</v>
      </c>
      <c r="G11">
        <v>4.5131028382739899E-4</v>
      </c>
      <c r="H11">
        <f t="shared" si="0"/>
        <v>3</v>
      </c>
    </row>
    <row r="12" spans="1:8" x14ac:dyDescent="0.35">
      <c r="A12" s="1" t="s">
        <v>16</v>
      </c>
      <c r="B12">
        <v>3.1408621718328013E-2</v>
      </c>
      <c r="C12">
        <v>2.1394953593598189E-2</v>
      </c>
      <c r="D12">
        <v>1.4680387868532749</v>
      </c>
      <c r="E12">
        <v>0.1420936874171175</v>
      </c>
      <c r="F12">
        <v>-1.052471677603025E-2</v>
      </c>
      <c r="G12">
        <v>7.3341960212686269E-2</v>
      </c>
      <c r="H12">
        <f t="shared" si="0"/>
        <v>4</v>
      </c>
    </row>
    <row r="13" spans="1:8" x14ac:dyDescent="0.35">
      <c r="A13" s="1" t="s">
        <v>17</v>
      </c>
      <c r="B13">
        <v>1.258617116299832E-2</v>
      </c>
      <c r="C13">
        <v>1.0546061588250191E-2</v>
      </c>
      <c r="D13">
        <v>1.19344753087931</v>
      </c>
      <c r="E13">
        <v>0.23269414947709929</v>
      </c>
      <c r="F13">
        <v>-8.083729728713334E-3</v>
      </c>
      <c r="G13">
        <v>3.325607205470997E-2</v>
      </c>
      <c r="H13">
        <f t="shared" si="0"/>
        <v>5</v>
      </c>
    </row>
    <row r="14" spans="1:8" x14ac:dyDescent="0.35">
      <c r="A14" s="1" t="s">
        <v>18</v>
      </c>
      <c r="B14">
        <v>-1.323021304388244E-2</v>
      </c>
      <c r="C14">
        <v>9.1928236158325613E-3</v>
      </c>
      <c r="D14">
        <v>-1.4391892629263969</v>
      </c>
      <c r="E14">
        <v>0.15009690666455611</v>
      </c>
      <c r="F14">
        <v>-3.1247816247143539E-2</v>
      </c>
      <c r="G14">
        <v>4.7873901593786516E-3</v>
      </c>
      <c r="H14">
        <f t="shared" si="0"/>
        <v>6</v>
      </c>
    </row>
    <row r="15" spans="1:8" x14ac:dyDescent="0.35">
      <c r="A15" s="1" t="s">
        <v>19</v>
      </c>
      <c r="B15">
        <v>-3.8606073727684852E-3</v>
      </c>
      <c r="C15">
        <v>5.6476496212455899E-3</v>
      </c>
      <c r="D15">
        <v>-0.68357770606828605</v>
      </c>
      <c r="E15">
        <v>0.49424186638409362</v>
      </c>
      <c r="F15">
        <v>-1.4929797227711121E-2</v>
      </c>
      <c r="G15">
        <v>7.2085824821741494E-3</v>
      </c>
      <c r="H15">
        <f t="shared" si="0"/>
        <v>7</v>
      </c>
    </row>
    <row r="16" spans="1:8" x14ac:dyDescent="0.35">
      <c r="A16" s="1" t="s">
        <v>20</v>
      </c>
      <c r="B16">
        <v>-1.25576583314746E-4</v>
      </c>
      <c r="C16">
        <v>2.3734403294049448E-3</v>
      </c>
      <c r="D16">
        <v>-5.2909096453345343E-2</v>
      </c>
      <c r="E16">
        <v>0.95780433662821118</v>
      </c>
      <c r="F16">
        <v>-4.7774341484033197E-3</v>
      </c>
      <c r="G16">
        <v>4.5262809817738277E-3</v>
      </c>
      <c r="H16">
        <f t="shared" si="0"/>
        <v>8</v>
      </c>
    </row>
    <row r="17" spans="1:8" x14ac:dyDescent="0.35">
      <c r="A17" s="1" t="s">
        <v>21</v>
      </c>
      <c r="B17">
        <v>-1.840547887137389E-3</v>
      </c>
      <c r="C17">
        <v>2.256999160851291E-3</v>
      </c>
      <c r="D17">
        <v>-0.81548452434655516</v>
      </c>
      <c r="E17">
        <v>0.41479501940006752</v>
      </c>
      <c r="F17">
        <v>-6.2641849555430439E-3</v>
      </c>
      <c r="G17">
        <v>2.5830891812682649E-3</v>
      </c>
      <c r="H17">
        <f t="shared" si="0"/>
        <v>9</v>
      </c>
    </row>
    <row r="18" spans="1:8" x14ac:dyDescent="0.35">
      <c r="A18" s="1" t="s">
        <v>22</v>
      </c>
      <c r="B18">
        <v>-1.031042035708196E-3</v>
      </c>
      <c r="C18">
        <v>2.0483631948130152E-3</v>
      </c>
      <c r="D18">
        <v>-0.5033492294330717</v>
      </c>
      <c r="E18">
        <v>0.61471876026194017</v>
      </c>
      <c r="F18">
        <v>-5.0457601247991084E-3</v>
      </c>
      <c r="G18">
        <v>2.983676053382716E-3</v>
      </c>
      <c r="H18">
        <f t="shared" si="0"/>
        <v>10</v>
      </c>
    </row>
    <row r="19" spans="1:8" x14ac:dyDescent="0.35">
      <c r="A19" s="1" t="s">
        <v>23</v>
      </c>
      <c r="B19">
        <v>-4.4514458553369376E-3</v>
      </c>
      <c r="C19">
        <v>2.9326471535353719E-3</v>
      </c>
      <c r="D19">
        <v>-1.5178934328906979</v>
      </c>
      <c r="E19">
        <v>0.12904126576395161</v>
      </c>
      <c r="F19">
        <v>-1.0199328655630171E-2</v>
      </c>
      <c r="G19">
        <v>1.296436944956297E-3</v>
      </c>
      <c r="H19">
        <f t="shared" si="0"/>
        <v>11</v>
      </c>
    </row>
    <row r="20" spans="1:8" x14ac:dyDescent="0.35">
      <c r="A20" s="1" t="s">
        <v>24</v>
      </c>
      <c r="B20">
        <v>-4.3905467502790294E-3</v>
      </c>
      <c r="C20">
        <v>2.860027804382625E-3</v>
      </c>
      <c r="D20">
        <v>-1.535141282036167</v>
      </c>
      <c r="E20">
        <v>0.12474912782400401</v>
      </c>
      <c r="F20">
        <v>-9.9960982416521411E-3</v>
      </c>
      <c r="G20">
        <v>1.2150047410940841E-3</v>
      </c>
      <c r="H20">
        <f t="shared" si="0"/>
        <v>12</v>
      </c>
    </row>
    <row r="21" spans="1:8" x14ac:dyDescent="0.35">
      <c r="A21" s="1" t="s">
        <v>25</v>
      </c>
      <c r="B21">
        <v>0.68001143039902401</v>
      </c>
      <c r="C21">
        <v>8.4857479989765866E-2</v>
      </c>
      <c r="D21">
        <v>8.0135708776767345</v>
      </c>
      <c r="E21">
        <v>1.11425002547203E-15</v>
      </c>
      <c r="F21">
        <v>0.51369382580025458</v>
      </c>
      <c r="G21">
        <v>0.84632903499779344</v>
      </c>
    </row>
    <row r="22" spans="1:8" x14ac:dyDescent="0.35">
      <c r="A22" s="1" t="s">
        <v>26</v>
      </c>
      <c r="B22">
        <v>0.29150778841341879</v>
      </c>
      <c r="C22">
        <v>8.6677154995236441E-2</v>
      </c>
      <c r="D22">
        <v>3.3631443998068389</v>
      </c>
      <c r="E22">
        <v>7.7060044198277024E-4</v>
      </c>
      <c r="F22">
        <v>0.1216236863403594</v>
      </c>
      <c r="G22">
        <v>0.46139189048647827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2"/>
  <sheetViews>
    <sheetView workbookViewId="0">
      <selection activeCell="P25" sqref="P25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5.2223689578905573E-2</v>
      </c>
      <c r="C2">
        <v>3.2164661203172948E-2</v>
      </c>
      <c r="D2">
        <v>1.6236356182652361</v>
      </c>
      <c r="E2">
        <v>0.1044535989906798</v>
      </c>
      <c r="F2">
        <v>-1.0817887954246191E-2</v>
      </c>
      <c r="G2">
        <v>0.1152652671120573</v>
      </c>
    </row>
    <row r="3" spans="1:8" x14ac:dyDescent="0.35">
      <c r="A3" s="1" t="s">
        <v>7</v>
      </c>
      <c r="B3">
        <v>7.3314227375472357E-3</v>
      </c>
      <c r="C3">
        <v>5.3563878798679639E-3</v>
      </c>
      <c r="D3">
        <v>1.3687251375320411</v>
      </c>
      <c r="E3">
        <v>0.1710852095612494</v>
      </c>
      <c r="F3">
        <v>-3.16690459422083E-3</v>
      </c>
      <c r="G3">
        <v>1.7829750069315298E-2</v>
      </c>
      <c r="H3">
        <f>VALUE(_xlfn.TEXTAFTER(A3,"_"))</f>
        <v>-6</v>
      </c>
    </row>
    <row r="4" spans="1:8" x14ac:dyDescent="0.35">
      <c r="A4" s="1" t="s">
        <v>8</v>
      </c>
      <c r="B4">
        <v>6.8261167585922794E-3</v>
      </c>
      <c r="C4">
        <v>5.7792058997425139E-3</v>
      </c>
      <c r="D4">
        <v>1.1811513341126001</v>
      </c>
      <c r="E4">
        <v>0.2375426101407698</v>
      </c>
      <c r="F4">
        <v>-4.5009186641444456E-3</v>
      </c>
      <c r="G4">
        <v>1.815315218132901E-2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6.7791528354881484E-3</v>
      </c>
      <c r="C5">
        <v>6.281655985229056E-3</v>
      </c>
      <c r="D5">
        <v>1.0791983597046579</v>
      </c>
      <c r="E5">
        <v>0.28049931074672269</v>
      </c>
      <c r="F5">
        <v>-5.5326666588312728E-3</v>
      </c>
      <c r="G5">
        <v>1.9090972329807571E-2</v>
      </c>
      <c r="H5">
        <f t="shared" si="0"/>
        <v>-4</v>
      </c>
    </row>
    <row r="6" spans="1:8" x14ac:dyDescent="0.35">
      <c r="A6" s="1" t="s">
        <v>10</v>
      </c>
      <c r="B6">
        <v>5.3604973695031066E-3</v>
      </c>
      <c r="C6">
        <v>6.4050573865947341E-3</v>
      </c>
      <c r="D6">
        <v>0.83691636873108954</v>
      </c>
      <c r="E6">
        <v>0.40263957880408707</v>
      </c>
      <c r="F6">
        <v>-7.1931844271348137E-3</v>
      </c>
      <c r="G6">
        <v>1.791417916614103E-2</v>
      </c>
      <c r="H6">
        <f t="shared" si="0"/>
        <v>-3</v>
      </c>
    </row>
    <row r="7" spans="1:8" x14ac:dyDescent="0.35">
      <c r="A7" s="1" t="s">
        <v>11</v>
      </c>
      <c r="B7">
        <v>9.7769709432160012E-3</v>
      </c>
      <c r="C7">
        <v>8.6257016009051932E-3</v>
      </c>
      <c r="D7">
        <v>1.133469646363606</v>
      </c>
      <c r="E7">
        <v>0.25701708099501569</v>
      </c>
      <c r="F7">
        <v>-7.1290935359476643E-3</v>
      </c>
      <c r="G7">
        <v>2.668303542237967E-2</v>
      </c>
      <c r="H7">
        <f t="shared" si="0"/>
        <v>-2</v>
      </c>
    </row>
    <row r="8" spans="1:8" x14ac:dyDescent="0.35">
      <c r="A8" s="1" t="s">
        <v>12</v>
      </c>
      <c r="B8">
        <v>8.6413108049633244E-3</v>
      </c>
      <c r="C8">
        <v>7.5420610626507952E-3</v>
      </c>
      <c r="D8">
        <v>1.1457492498643569</v>
      </c>
      <c r="E8">
        <v>0.25189891940082437</v>
      </c>
      <c r="F8">
        <v>-6.1408572470341219E-3</v>
      </c>
      <c r="G8">
        <v>2.3423478856960771E-2</v>
      </c>
      <c r="H8">
        <f t="shared" si="0"/>
        <v>0</v>
      </c>
    </row>
    <row r="9" spans="1:8" x14ac:dyDescent="0.35">
      <c r="A9" s="1" t="s">
        <v>13</v>
      </c>
      <c r="B9">
        <v>9.8511291543039448E-4</v>
      </c>
      <c r="C9">
        <v>9.6627227927092562E-3</v>
      </c>
      <c r="D9">
        <v>0.10194982683076501</v>
      </c>
      <c r="E9">
        <v>0.91879649987602285</v>
      </c>
      <c r="F9">
        <v>-1.795347575087404E-2</v>
      </c>
      <c r="G9">
        <v>1.9923701581734829E-2</v>
      </c>
      <c r="H9">
        <f t="shared" si="0"/>
        <v>1</v>
      </c>
    </row>
    <row r="10" spans="1:8" x14ac:dyDescent="0.35">
      <c r="A10" s="1" t="s">
        <v>14</v>
      </c>
      <c r="B10">
        <v>2.9354069856116489E-3</v>
      </c>
      <c r="C10">
        <v>3.174832692071047E-3</v>
      </c>
      <c r="D10">
        <v>0.92458635472119544</v>
      </c>
      <c r="E10">
        <v>0.35518111355815768</v>
      </c>
      <c r="F10">
        <v>-3.287150747787947E-3</v>
      </c>
      <c r="G10">
        <v>9.1579647190112457E-3</v>
      </c>
      <c r="H10">
        <f t="shared" si="0"/>
        <v>2</v>
      </c>
    </row>
    <row r="11" spans="1:8" x14ac:dyDescent="0.35">
      <c r="A11" s="1" t="s">
        <v>15</v>
      </c>
      <c r="B11">
        <v>7.2881691278494504E-3</v>
      </c>
      <c r="C11">
        <v>8.3216472570443786E-3</v>
      </c>
      <c r="D11">
        <v>0.87580846708924409</v>
      </c>
      <c r="E11">
        <v>0.38113416628371161</v>
      </c>
      <c r="F11">
        <v>-9.0219597880040608E-3</v>
      </c>
      <c r="G11">
        <v>2.3598298043702962E-2</v>
      </c>
      <c r="H11">
        <f t="shared" si="0"/>
        <v>3</v>
      </c>
    </row>
    <row r="12" spans="1:8" x14ac:dyDescent="0.35">
      <c r="A12" s="1" t="s">
        <v>16</v>
      </c>
      <c r="B12">
        <v>-2.1837882553639051E-2</v>
      </c>
      <c r="C12">
        <v>1.6991867915885951E-2</v>
      </c>
      <c r="D12">
        <v>-1.2851961103830429</v>
      </c>
      <c r="E12">
        <v>0.1987237625125646</v>
      </c>
      <c r="F12">
        <v>-5.5141331698837177E-2</v>
      </c>
      <c r="G12">
        <v>1.1465566591559079E-2</v>
      </c>
      <c r="H12">
        <f t="shared" si="0"/>
        <v>4</v>
      </c>
    </row>
    <row r="13" spans="1:8" x14ac:dyDescent="0.35">
      <c r="A13" s="1" t="s">
        <v>17</v>
      </c>
      <c r="B13">
        <v>2.3957314312022669E-3</v>
      </c>
      <c r="C13">
        <v>3.1869623320345962E-3</v>
      </c>
      <c r="D13">
        <v>0.75172881935909242</v>
      </c>
      <c r="E13">
        <v>0.45221415556869871</v>
      </c>
      <c r="F13">
        <v>-3.850599959671323E-3</v>
      </c>
      <c r="G13">
        <v>8.642062822075856E-3</v>
      </c>
      <c r="H13">
        <f t="shared" si="0"/>
        <v>5</v>
      </c>
    </row>
    <row r="14" spans="1:8" x14ac:dyDescent="0.35">
      <c r="A14" s="1" t="s">
        <v>18</v>
      </c>
      <c r="B14">
        <v>-3.1078624423292729E-3</v>
      </c>
      <c r="C14">
        <v>2.82167684715626E-3</v>
      </c>
      <c r="D14">
        <v>-1.101423944227149</v>
      </c>
      <c r="E14">
        <v>0.27071218904176908</v>
      </c>
      <c r="F14">
        <v>-8.6382474387660738E-3</v>
      </c>
      <c r="G14">
        <v>2.4225225541075271E-3</v>
      </c>
      <c r="H14">
        <f t="shared" si="0"/>
        <v>6</v>
      </c>
    </row>
    <row r="15" spans="1:8" x14ac:dyDescent="0.35">
      <c r="A15" s="1" t="s">
        <v>19</v>
      </c>
      <c r="B15">
        <v>1.0996626082112051E-3</v>
      </c>
      <c r="C15">
        <v>2.760074769787433E-3</v>
      </c>
      <c r="D15">
        <v>0.39841768790049681</v>
      </c>
      <c r="E15">
        <v>0.69032232178528619</v>
      </c>
      <c r="F15">
        <v>-4.3099845352098454E-3</v>
      </c>
      <c r="G15">
        <v>6.5093097516322543E-3</v>
      </c>
      <c r="H15">
        <f t="shared" si="0"/>
        <v>7</v>
      </c>
    </row>
    <row r="16" spans="1:8" x14ac:dyDescent="0.35">
      <c r="A16" s="1" t="s">
        <v>20</v>
      </c>
      <c r="B16">
        <v>1.590391981958775E-3</v>
      </c>
      <c r="C16">
        <v>2.984706889913244E-3</v>
      </c>
      <c r="D16">
        <v>0.53284695637399837</v>
      </c>
      <c r="E16">
        <v>0.59413952613933674</v>
      </c>
      <c r="F16">
        <v>-4.2595260266797396E-3</v>
      </c>
      <c r="G16">
        <v>7.4403099905972899E-3</v>
      </c>
      <c r="H16">
        <f t="shared" si="0"/>
        <v>8</v>
      </c>
    </row>
    <row r="17" spans="1:8" x14ac:dyDescent="0.35">
      <c r="A17" s="1" t="s">
        <v>21</v>
      </c>
      <c r="B17">
        <v>1.610830547688513E-3</v>
      </c>
      <c r="C17">
        <v>2.9551522223862851E-3</v>
      </c>
      <c r="D17">
        <v>0.54509224109875731</v>
      </c>
      <c r="E17">
        <v>0.58569007873950962</v>
      </c>
      <c r="F17">
        <v>-4.1811613770221046E-3</v>
      </c>
      <c r="G17">
        <v>7.4028224723991318E-3</v>
      </c>
      <c r="H17">
        <f t="shared" si="0"/>
        <v>9</v>
      </c>
    </row>
    <row r="18" spans="1:8" x14ac:dyDescent="0.35">
      <c r="A18" s="1" t="s">
        <v>22</v>
      </c>
      <c r="B18">
        <v>2.354717404798395E-3</v>
      </c>
      <c r="C18">
        <v>3.1026861783778671E-3</v>
      </c>
      <c r="D18">
        <v>0.75892864099761403</v>
      </c>
      <c r="E18">
        <v>0.44789524482544091</v>
      </c>
      <c r="F18">
        <v>-3.726435760152442E-3</v>
      </c>
      <c r="G18">
        <v>8.435870569749232E-3</v>
      </c>
      <c r="H18">
        <f t="shared" si="0"/>
        <v>10</v>
      </c>
    </row>
    <row r="19" spans="1:8" x14ac:dyDescent="0.35">
      <c r="A19" s="1" t="s">
        <v>23</v>
      </c>
      <c r="B19">
        <v>8.3220939487459178E-4</v>
      </c>
      <c r="C19">
        <v>3.2240252404739942E-3</v>
      </c>
      <c r="D19">
        <v>0.25812744404948917</v>
      </c>
      <c r="E19">
        <v>0.79630855180532922</v>
      </c>
      <c r="F19">
        <v>-5.4867639617025227E-3</v>
      </c>
      <c r="G19">
        <v>7.1511827514517063E-3</v>
      </c>
      <c r="H19">
        <f t="shared" si="0"/>
        <v>11</v>
      </c>
    </row>
    <row r="20" spans="1:8" x14ac:dyDescent="0.35">
      <c r="A20" s="1" t="s">
        <v>24</v>
      </c>
      <c r="B20">
        <v>1.574104123747463E-3</v>
      </c>
      <c r="C20">
        <v>3.0402379939262242E-3</v>
      </c>
      <c r="D20">
        <v>0.51775687524864911</v>
      </c>
      <c r="E20">
        <v>0.6046279103069081</v>
      </c>
      <c r="F20">
        <v>-4.3846528487782397E-3</v>
      </c>
      <c r="G20">
        <v>7.5328610962731666E-3</v>
      </c>
      <c r="H20">
        <f t="shared" si="0"/>
        <v>12</v>
      </c>
    </row>
    <row r="21" spans="1:8" x14ac:dyDescent="0.35">
      <c r="A21" s="1" t="s">
        <v>25</v>
      </c>
      <c r="B21">
        <v>0.71777444814448144</v>
      </c>
      <c r="C21">
        <v>9.2182409301726623E-2</v>
      </c>
      <c r="D21">
        <v>7.7864578891087541</v>
      </c>
      <c r="E21">
        <v>6.8913874622219622E-15</v>
      </c>
      <c r="F21">
        <v>0.53710024590496719</v>
      </c>
      <c r="G21">
        <v>0.89844865038399568</v>
      </c>
    </row>
    <row r="22" spans="1:8" x14ac:dyDescent="0.35">
      <c r="A22" s="1" t="s">
        <v>26</v>
      </c>
      <c r="B22">
        <v>0.12419838053646649</v>
      </c>
      <c r="C22">
        <v>3.058707346905495E-2</v>
      </c>
      <c r="D22">
        <v>4.0604858997745712</v>
      </c>
      <c r="E22">
        <v>4.8970694792474558E-5</v>
      </c>
      <c r="F22">
        <v>6.4248818144638176E-2</v>
      </c>
      <c r="G22">
        <v>0.18414794292829481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2"/>
  <sheetViews>
    <sheetView tabSelected="1" topLeftCell="B1" workbookViewId="0">
      <selection activeCell="K29" sqref="K29"/>
    </sheetView>
  </sheetViews>
  <sheetFormatPr defaultRowHeight="14.5" x14ac:dyDescent="0.35"/>
  <sheetData>
    <row r="1" spans="1:8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 x14ac:dyDescent="0.35">
      <c r="A2" s="1" t="s">
        <v>6</v>
      </c>
      <c r="B2">
        <v>3.971440364486703E-2</v>
      </c>
      <c r="C2">
        <v>3.2309472294348107E-2</v>
      </c>
      <c r="D2">
        <v>1.2291876290351631</v>
      </c>
      <c r="E2">
        <v>0.21900146608856641</v>
      </c>
      <c r="F2">
        <v>-2.3610998411549969E-2</v>
      </c>
      <c r="G2">
        <v>0.103039805701284</v>
      </c>
    </row>
    <row r="3" spans="1:8" x14ac:dyDescent="0.35">
      <c r="A3" s="1" t="s">
        <v>7</v>
      </c>
      <c r="B3">
        <v>6.032841628165142E-3</v>
      </c>
      <c r="C3">
        <v>7.4049662414271914E-3</v>
      </c>
      <c r="D3">
        <v>0.81470211091771383</v>
      </c>
      <c r="E3">
        <v>0.41524284477252121</v>
      </c>
      <c r="F3">
        <v>-8.4806255117670839E-3</v>
      </c>
      <c r="G3">
        <v>2.054630876809737E-2</v>
      </c>
      <c r="H3">
        <f>VALUE(_xlfn.TEXTAFTER(A3,"_"))</f>
        <v>-6</v>
      </c>
    </row>
    <row r="4" spans="1:8" x14ac:dyDescent="0.35">
      <c r="A4" s="1" t="s">
        <v>8</v>
      </c>
      <c r="B4">
        <v>8.4376926396964036E-3</v>
      </c>
      <c r="C4">
        <v>6.8798717862596209E-3</v>
      </c>
      <c r="D4">
        <v>1.226431669344193</v>
      </c>
      <c r="E4">
        <v>0.22003627446680099</v>
      </c>
      <c r="F4">
        <v>-5.0466082796257021E-3</v>
      </c>
      <c r="G4">
        <v>2.1921993559018509E-2</v>
      </c>
      <c r="H4">
        <f t="shared" ref="H4:H20" si="0">VALUE(_xlfn.TEXTAFTER(A4,"_"))</f>
        <v>-5</v>
      </c>
    </row>
    <row r="5" spans="1:8" x14ac:dyDescent="0.35">
      <c r="A5" s="1" t="s">
        <v>9</v>
      </c>
      <c r="B5">
        <v>9.9093820679684724E-3</v>
      </c>
      <c r="C5">
        <v>6.7219258817941378E-3</v>
      </c>
      <c r="D5">
        <v>1.474187939918727</v>
      </c>
      <c r="E5">
        <v>0.14043099607996071</v>
      </c>
      <c r="F5">
        <v>-3.2653505670956831E-3</v>
      </c>
      <c r="G5">
        <v>2.3084114703032631E-2</v>
      </c>
      <c r="H5">
        <f t="shared" si="0"/>
        <v>-4</v>
      </c>
    </row>
    <row r="6" spans="1:8" x14ac:dyDescent="0.35">
      <c r="A6" s="1" t="s">
        <v>10</v>
      </c>
      <c r="B6">
        <v>1.072605886748736E-2</v>
      </c>
      <c r="C6">
        <v>6.8036720430811994E-3</v>
      </c>
      <c r="D6">
        <v>1.576510272624754</v>
      </c>
      <c r="E6">
        <v>0.1149082532238187</v>
      </c>
      <c r="F6">
        <v>-2.608893299573839E-3</v>
      </c>
      <c r="G6">
        <v>2.4061011034548552E-2</v>
      </c>
      <c r="H6">
        <f t="shared" si="0"/>
        <v>-3</v>
      </c>
    </row>
    <row r="7" spans="1:8" x14ac:dyDescent="0.35">
      <c r="A7" s="1" t="s">
        <v>11</v>
      </c>
      <c r="B7">
        <v>9.4666120318123992E-3</v>
      </c>
      <c r="C7">
        <v>6.7888814024859578E-3</v>
      </c>
      <c r="D7">
        <v>1.394428841892261</v>
      </c>
      <c r="E7">
        <v>0.16318814359928679</v>
      </c>
      <c r="F7">
        <v>-3.8393510123738502E-3</v>
      </c>
      <c r="G7">
        <v>2.2772575075998652E-2</v>
      </c>
      <c r="H7">
        <f t="shared" si="0"/>
        <v>-2</v>
      </c>
    </row>
    <row r="8" spans="1:8" x14ac:dyDescent="0.35">
      <c r="A8" s="1" t="s">
        <v>12</v>
      </c>
      <c r="B8">
        <v>1.4212592795691471E-2</v>
      </c>
      <c r="C8">
        <v>6.9350496013642557E-3</v>
      </c>
      <c r="D8">
        <v>2.0493858894528429</v>
      </c>
      <c r="E8">
        <v>4.0424395932017493E-2</v>
      </c>
      <c r="F8">
        <v>6.2014534601866761E-4</v>
      </c>
      <c r="G8">
        <v>2.780504024536427E-2</v>
      </c>
      <c r="H8">
        <f t="shared" si="0"/>
        <v>0</v>
      </c>
    </row>
    <row r="9" spans="1:8" x14ac:dyDescent="0.35">
      <c r="A9" s="1" t="s">
        <v>13</v>
      </c>
      <c r="B9">
        <v>1.7541769754266221E-2</v>
      </c>
      <c r="C9">
        <v>7.5422677544349226E-3</v>
      </c>
      <c r="D9">
        <v>2.3257951488067361</v>
      </c>
      <c r="E9">
        <v>2.0029481571676961E-2</v>
      </c>
      <c r="F9">
        <v>2.7591965938159788E-3</v>
      </c>
      <c r="G9">
        <v>3.2324342914716447E-2</v>
      </c>
      <c r="H9">
        <f t="shared" si="0"/>
        <v>1</v>
      </c>
    </row>
    <row r="10" spans="1:8" x14ac:dyDescent="0.35">
      <c r="A10" s="1" t="s">
        <v>14</v>
      </c>
      <c r="B10">
        <v>1.4371227408967119E-2</v>
      </c>
      <c r="C10">
        <v>8.639931911207285E-3</v>
      </c>
      <c r="D10">
        <v>1.663349613939143</v>
      </c>
      <c r="E10">
        <v>9.624247274405133E-2</v>
      </c>
      <c r="F10">
        <v>-2.562727965877469E-3</v>
      </c>
      <c r="G10">
        <v>3.1305182783811718E-2</v>
      </c>
      <c r="H10">
        <f t="shared" si="0"/>
        <v>2</v>
      </c>
    </row>
    <row r="11" spans="1:8" x14ac:dyDescent="0.35">
      <c r="A11" s="1" t="s">
        <v>15</v>
      </c>
      <c r="B11">
        <v>1.493260141164165E-2</v>
      </c>
      <c r="C11">
        <v>7.1447538286535661E-3</v>
      </c>
      <c r="D11">
        <v>2.0900092249162512</v>
      </c>
      <c r="E11">
        <v>3.6616971041279929E-2</v>
      </c>
      <c r="F11">
        <v>9.2914122907600434E-4</v>
      </c>
      <c r="G11">
        <v>2.8936061594207311E-2</v>
      </c>
      <c r="H11">
        <f t="shared" si="0"/>
        <v>3</v>
      </c>
    </row>
    <row r="12" spans="1:8" x14ac:dyDescent="0.35">
      <c r="A12" s="1" t="s">
        <v>16</v>
      </c>
      <c r="B12">
        <v>-1.5153174843655639E-3</v>
      </c>
      <c r="C12">
        <v>2.757429722845563E-2</v>
      </c>
      <c r="D12">
        <v>-5.4953983842671188E-2</v>
      </c>
      <c r="E12">
        <v>0.95617512393186976</v>
      </c>
      <c r="F12">
        <v>-5.5559946951141227E-2</v>
      </c>
      <c r="G12">
        <v>5.25293119824101E-2</v>
      </c>
      <c r="H12">
        <f t="shared" si="0"/>
        <v>4</v>
      </c>
    </row>
    <row r="13" spans="1:8" x14ac:dyDescent="0.35">
      <c r="A13" s="1" t="s">
        <v>17</v>
      </c>
      <c r="B13">
        <v>5.5620699947492303E-3</v>
      </c>
      <c r="C13">
        <v>1.0637629245623949E-2</v>
      </c>
      <c r="D13">
        <v>0.52286744220168446</v>
      </c>
      <c r="E13">
        <v>0.60106650281280372</v>
      </c>
      <c r="F13">
        <v>-1.5287300207563701E-2</v>
      </c>
      <c r="G13">
        <v>2.641144019706216E-2</v>
      </c>
      <c r="H13">
        <f t="shared" si="0"/>
        <v>5</v>
      </c>
    </row>
    <row r="14" spans="1:8" x14ac:dyDescent="0.35">
      <c r="A14" s="1" t="s">
        <v>18</v>
      </c>
      <c r="B14">
        <v>-1.778957610479553E-3</v>
      </c>
      <c r="C14">
        <v>7.8920860020791628E-3</v>
      </c>
      <c r="D14">
        <v>-0.22541031737501199</v>
      </c>
      <c r="E14">
        <v>0.8216600860602693</v>
      </c>
      <c r="F14">
        <v>-1.7247161937447419E-2</v>
      </c>
      <c r="G14">
        <v>1.368924671648831E-2</v>
      </c>
      <c r="H14">
        <f t="shared" si="0"/>
        <v>6</v>
      </c>
    </row>
    <row r="15" spans="1:8" x14ac:dyDescent="0.35">
      <c r="A15" s="1" t="s">
        <v>19</v>
      </c>
      <c r="B15">
        <v>7.5522941676666733E-3</v>
      </c>
      <c r="C15">
        <v>6.6343939602688182E-3</v>
      </c>
      <c r="D15">
        <v>1.1383547936548319</v>
      </c>
      <c r="E15">
        <v>0.25497236257721761</v>
      </c>
      <c r="F15">
        <v>-5.4508790537102694E-3</v>
      </c>
      <c r="G15">
        <v>2.0555467389043621E-2</v>
      </c>
      <c r="H15">
        <f t="shared" si="0"/>
        <v>7</v>
      </c>
    </row>
    <row r="16" spans="1:8" x14ac:dyDescent="0.35">
      <c r="A16" s="1" t="s">
        <v>20</v>
      </c>
      <c r="B16">
        <v>1.1736900104680439E-2</v>
      </c>
      <c r="C16">
        <v>6.9503534285761523E-3</v>
      </c>
      <c r="D16">
        <v>1.6886767306572581</v>
      </c>
      <c r="E16">
        <v>9.128139726518697E-2</v>
      </c>
      <c r="F16">
        <v>-1.885542295153302E-3</v>
      </c>
      <c r="G16">
        <v>2.535934250451418E-2</v>
      </c>
      <c r="H16">
        <f t="shared" si="0"/>
        <v>8</v>
      </c>
    </row>
    <row r="17" spans="1:8" x14ac:dyDescent="0.35">
      <c r="A17" s="1" t="s">
        <v>21</v>
      </c>
      <c r="B17">
        <v>1.127486414339582E-2</v>
      </c>
      <c r="C17">
        <v>7.2348616241002667E-3</v>
      </c>
      <c r="D17">
        <v>1.558407711052521</v>
      </c>
      <c r="E17">
        <v>0.1191366298630884</v>
      </c>
      <c r="F17">
        <v>-2.9052040729716671E-3</v>
      </c>
      <c r="G17">
        <v>2.5454932359763299E-2</v>
      </c>
      <c r="H17">
        <f t="shared" si="0"/>
        <v>9</v>
      </c>
    </row>
    <row r="18" spans="1:8" x14ac:dyDescent="0.35">
      <c r="A18" s="1" t="s">
        <v>22</v>
      </c>
      <c r="B18">
        <v>1.138085245380221E-2</v>
      </c>
      <c r="C18">
        <v>6.5295702839020947E-3</v>
      </c>
      <c r="D18">
        <v>1.742971123514881</v>
      </c>
      <c r="E18">
        <v>8.1338659007437641E-2</v>
      </c>
      <c r="F18">
        <v>-1.416870137168867E-3</v>
      </c>
      <c r="G18">
        <v>2.41785750447733E-2</v>
      </c>
      <c r="H18">
        <f t="shared" si="0"/>
        <v>10</v>
      </c>
    </row>
    <row r="19" spans="1:8" x14ac:dyDescent="0.35">
      <c r="A19" s="1" t="s">
        <v>23</v>
      </c>
      <c r="B19">
        <v>1.3253649106338311E-2</v>
      </c>
      <c r="C19">
        <v>7.5339047154635384E-3</v>
      </c>
      <c r="D19">
        <v>1.759200521760627</v>
      </c>
      <c r="E19">
        <v>7.8543455684987482E-2</v>
      </c>
      <c r="F19">
        <v>-1.512532798926713E-3</v>
      </c>
      <c r="G19">
        <v>2.8019831011603321E-2</v>
      </c>
      <c r="H19">
        <f t="shared" si="0"/>
        <v>11</v>
      </c>
    </row>
    <row r="20" spans="1:8" x14ac:dyDescent="0.35">
      <c r="A20" s="1" t="s">
        <v>24</v>
      </c>
      <c r="B20">
        <v>1.2769592843210159E-2</v>
      </c>
      <c r="C20">
        <v>7.4352803210020451E-3</v>
      </c>
      <c r="D20">
        <v>1.717432604005604</v>
      </c>
      <c r="E20">
        <v>8.5900158742120675E-2</v>
      </c>
      <c r="F20">
        <v>-1.803288800913256E-3</v>
      </c>
      <c r="G20">
        <v>2.7342474487333589E-2</v>
      </c>
      <c r="H20">
        <f t="shared" si="0"/>
        <v>12</v>
      </c>
    </row>
    <row r="21" spans="1:8" x14ac:dyDescent="0.35">
      <c r="A21" s="1" t="s">
        <v>25</v>
      </c>
      <c r="B21">
        <v>0.66129463434377422</v>
      </c>
      <c r="C21">
        <v>4.7858867162194833E-2</v>
      </c>
      <c r="D21">
        <v>13.817598985421681</v>
      </c>
      <c r="E21">
        <v>1.996175220159279E-43</v>
      </c>
      <c r="F21">
        <v>0.56749297836498569</v>
      </c>
      <c r="G21">
        <v>0.75509629032256276</v>
      </c>
    </row>
    <row r="22" spans="1:8" x14ac:dyDescent="0.35">
      <c r="A22" s="1" t="s">
        <v>26</v>
      </c>
      <c r="B22">
        <v>0.2704660131219121</v>
      </c>
      <c r="C22">
        <v>7.1767579146735122E-2</v>
      </c>
      <c r="D22">
        <v>3.7686378213889671</v>
      </c>
      <c r="E22">
        <v>1.6414084791313669E-4</v>
      </c>
      <c r="F22">
        <v>0.12980414273668339</v>
      </c>
      <c r="G22">
        <v>0.41112788350714069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Comprehensive Housing Index</vt:lpstr>
      <vt:lpstr>Apartment</vt:lpstr>
      <vt:lpstr>Low-Rise Multi-Unit Housing</vt:lpstr>
      <vt:lpstr>Single-Family 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Kim, Eric</cp:lastModifiedBy>
  <dcterms:created xsi:type="dcterms:W3CDTF">2026-02-28T22:00:46Z</dcterms:created>
  <dcterms:modified xsi:type="dcterms:W3CDTF">2026-03-02T06:30:03Z</dcterms:modified>
</cp:coreProperties>
</file>